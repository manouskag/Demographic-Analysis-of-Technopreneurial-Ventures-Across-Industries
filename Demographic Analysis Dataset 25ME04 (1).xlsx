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download\"/>
    </mc:Choice>
  </mc:AlternateContent>
  <xr:revisionPtr revIDLastSave="0" documentId="13_ncr:1_{49A95FA7-1D81-432E-B5F2-B07F7668EB4A}" xr6:coauthVersionLast="47" xr6:coauthVersionMax="47" xr10:uidLastSave="{00000000-0000-0000-0000-000000000000}"/>
  <bookViews>
    <workbookView xWindow="-108" yWindow="-108" windowWidth="23256" windowHeight="12456" activeTab="4" xr2:uid="{00000000-000D-0000-FFFF-FFFF00000000}"/>
  </bookViews>
  <sheets>
    <sheet name="Dataset" sheetId="3" r:id="rId1"/>
    <sheet name="Sheet 1" sheetId="4" r:id="rId2"/>
    <sheet name="Sheet 2" sheetId="5" r:id="rId3"/>
    <sheet name="Sheet 3" sheetId="9" r:id="rId4"/>
    <sheet name="Sheet 4" sheetId="8" r:id="rId5"/>
  </sheets>
  <definedNames>
    <definedName name="Slicer_3._What_is_your_highest_level_of_education?">#N/A</definedName>
    <definedName name="Slicer_4._How_frequently_is_the_product_upgraded_technologically?">#N/A</definedName>
    <definedName name="Slicer_4._What_is_the_primary_industry_of_your_technopreneurial_venture?">#N/A</definedName>
    <definedName name="Slicer_4._What_is_the_primary_industry_of_your_technopreneurial_venture?1">#N/A</definedName>
    <definedName name="Slicer_4._What_is_the_primary_industry_of_your_technopreneurial_venture?2">#N/A</definedName>
    <definedName name="Slicer_4._What_is_the_primary_industry_of_your_technopreneurial_venture?3">#N/A</definedName>
    <definedName name="Slicer_5._How_long_has_your_technopreneurial_venture_been_in_operation?">#N/A</definedName>
    <definedName name="Slicer_5._How_long_has_your_technopreneurial_venture_been_in_operation?1">#N/A</definedName>
    <definedName name="Slicer_Attribute">#N/A</definedName>
  </definedNames>
  <calcPr calcId="191028"/>
  <pivotCaches>
    <pivotCache cacheId="2" r:id="rId6"/>
    <pivotCache cacheId="3"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5" i="5" l="1"/>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M32" i="3"/>
  <c r="BB32" i="3"/>
  <c r="BA32" i="3"/>
  <c r="AZ32" i="3"/>
  <c r="AY32" i="3"/>
  <c r="AX32" i="3"/>
  <c r="AW32" i="3"/>
  <c r="AV32" i="3"/>
  <c r="AU32" i="3"/>
  <c r="AT32" i="3"/>
  <c r="AS32" i="3"/>
  <c r="AN32" i="3"/>
  <c r="AM32" i="3"/>
  <c r="AL32" i="3"/>
  <c r="AK32" i="3"/>
  <c r="AJ32" i="3"/>
  <c r="AI32" i="3"/>
  <c r="AH32" i="3"/>
  <c r="AE32" i="3"/>
  <c r="AD32" i="3"/>
  <c r="AC32" i="3"/>
  <c r="AB32" i="3"/>
  <c r="AA32" i="3"/>
  <c r="Y32" i="3"/>
  <c r="X32" i="3"/>
  <c r="W32" i="3"/>
  <c r="V32" i="3"/>
  <c r="U32" i="3"/>
  <c r="T32" i="3"/>
  <c r="S32" i="3"/>
  <c r="R32" i="3"/>
  <c r="O32" i="3"/>
  <c r="N32" i="3"/>
  <c r="L32" i="3"/>
  <c r="A3" i="3"/>
  <c r="A4" i="3"/>
  <c r="A5" i="3"/>
  <c r="A6" i="3"/>
  <c r="A7" i="3"/>
  <c r="A8" i="3"/>
  <c r="A9" i="3"/>
  <c r="A10" i="3"/>
  <c r="A11" i="3"/>
  <c r="A12" i="3"/>
  <c r="A13" i="3"/>
  <c r="A14" i="3"/>
  <c r="A15" i="3"/>
  <c r="A16" i="3"/>
  <c r="A17" i="3"/>
  <c r="A18" i="3"/>
  <c r="A19" i="3"/>
  <c r="A20" i="3"/>
  <c r="A21" i="3"/>
  <c r="A22" i="3"/>
  <c r="A23" i="3"/>
  <c r="A24" i="3"/>
  <c r="A25" i="3"/>
  <c r="A26" i="3"/>
  <c r="A27" i="3"/>
  <c r="A28" i="3"/>
  <c r="A29" i="3"/>
  <c r="A30" i="3"/>
  <c r="A3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B4A6DE-554E-49DE-B957-634D0D087DF7}"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<sst xmlns="http://schemas.openxmlformats.org/spreadsheetml/2006/main" count="1767" uniqueCount="307">
  <si>
    <t>1. Age (years)</t>
  </si>
  <si>
    <t>35-44</t>
  </si>
  <si>
    <t>45-54</t>
  </si>
  <si>
    <t>25-34</t>
  </si>
  <si>
    <t>55+</t>
  </si>
  <si>
    <t>2. Gender</t>
  </si>
  <si>
    <t>Male</t>
  </si>
  <si>
    <t>Female</t>
  </si>
  <si>
    <t>3. What is your highest level of education?</t>
  </si>
  <si>
    <t>4. What is the primary industry of your technopreneurial venture?</t>
  </si>
  <si>
    <t>Master's Degree</t>
  </si>
  <si>
    <t>Digital Marketing</t>
  </si>
  <si>
    <t>EdTech Services</t>
  </si>
  <si>
    <t>Bachelor's Degree</t>
  </si>
  <si>
    <t>Hardware Development</t>
  </si>
  <si>
    <t>High School/Secondary Education</t>
  </si>
  <si>
    <t>Associate's Degree/Diploma</t>
  </si>
  <si>
    <t>Software Development</t>
  </si>
  <si>
    <t>Fintech</t>
  </si>
  <si>
    <t>5. How long has your technopreneurial venture been in operation?</t>
  </si>
  <si>
    <t>3-5 years</t>
  </si>
  <si>
    <t>More than 5 years</t>
  </si>
  <si>
    <t>1-3 years</t>
  </si>
  <si>
    <t>Less than 1 year</t>
  </si>
  <si>
    <t>1. Which product development approach is mainly followed in your venture?</t>
  </si>
  <si>
    <t>2. What is your Source of Product Ideas</t>
  </si>
  <si>
    <t>3. Do you involve customers or users in your product development process?</t>
  </si>
  <si>
    <t>4. How frequently is the product upgraded technologically?</t>
  </si>
  <si>
    <t>5. Your product development strategy focuses more on:</t>
  </si>
  <si>
    <t>6. Importance Scale – Rate the importance of the following for product development success:
( 1 = Not Important at All, 2 = Somewhat important, 3= Moderately Important, 4 = Very Important, 5 = Extremely Important) [Market research]</t>
  </si>
  <si>
    <t>6. Importance Scale – Rate the importance of the following for product development success:
( 1 = Not Important at All, 2 = Somewhat important, 3= Moderately Important, 4 = Very Important, 5 = Extremely Important) [Collaboration with industry experts]</t>
  </si>
  <si>
    <t>6. Importance Scale – Rate the importance of the following for product development success:
( 1 = Not Important at All, 2 = Somewhat important, 3= Moderately Important, 4 = Very Important, 5 = Extremely Important) [Access to latest technologies]</t>
  </si>
  <si>
    <t>6. Importance Scale – Rate the importance of the following for product development success:
( 1 = Not Important at All, 2 = Somewhat important, 3= Moderately Important, 4 = Very Important, 5 = Extremely Important) [Customer Feedback]</t>
  </si>
  <si>
    <t>1. Which of the following pricing strategies do you primarily use for your core product/service?</t>
  </si>
  <si>
    <t>2. How frequently do you review and adjust your pricing strategy?</t>
  </si>
  <si>
    <t>1. Which of the following promotional channels do you heavily utilize? (Select all that apply)</t>
  </si>
  <si>
    <t>3. Which of these metrics do you primarily use to evaluate the effectiveness of your promotional strategies?</t>
  </si>
  <si>
    <t>1. Which of the following distribution channels do you use to deliver your product/service?</t>
  </si>
  <si>
    <t>2. Importance Scale – Rate the importance of the following factors for Distribution Strategy: ) ) ) ) ) ) (1 = Not Important at All, 2= Somewhat important, 3 = Moderately Important, 4= Very Important, 5 = Extremely Important) [Nature of Product]</t>
  </si>
  <si>
    <t>2. Importance Scale – Rate the importance of the following factors for Distribution Strategy: ) ) ) ) ) ) (1 = Not Important at All, 2= Somewhat important, 3 = Moderately Important, 4= Very Important, 5 = Extremely Important) [Nature of Market]</t>
  </si>
  <si>
    <t>2. Importance Scale – Rate the importance of the following factors for Distribution Strategy: ) ) ) ) ) ) (1 = Not Important at All, 2= Somewhat important, 3 = Moderately Important, 4= Very Important, 5 = Extremely Important) [Competition]</t>
  </si>
  <si>
    <t>2. Importance Scale – Rate the importance of the following factors for Distribution Strategy: ) ) ) ) ) ) (1 = Not Important at All, 2= Somewhat important, 3 = Moderately Important, 4= Very Important, 5 = Extremely Important) [Government Regulations]</t>
  </si>
  <si>
    <t>1.Which digital marketing channels are most effective for reaching your target audience? (Select all that apply)</t>
  </si>
  <si>
    <t>2. How important is website optimization for user experience (UX) and conversion rates in your digital marketing strategy?</t>
  </si>
  <si>
    <t>3. Do you employ data analytics and insights to refine your digital marketing campaigns?</t>
  </si>
  <si>
    <t>4. How do you keep up-to-date with the latest trends and changes in digital marketing? (Select all that apply)</t>
  </si>
  <si>
    <t>Rate the following challenges in terms of their significance to your marketing efforts (1 = Most Significant, 5 = Least Significant): [Limited marketing budget]</t>
  </si>
  <si>
    <t>Rate the following challenges in terms of their significance to your marketing efforts (1 = Most Significant, 5 = Least Significant): [Lack of in-house marketing expertise]</t>
  </si>
  <si>
    <t>Rate the following challenges in terms of their significance to your marketing efforts (1 = Most Significant, 5 = Least Significant): [Difficulty in identifying and targeting the right audience]</t>
  </si>
  <si>
    <t>Rate the following challenges in terms of their significance to your marketing efforts (1 = Most Significant, 5 = Least Significant): [Intense competition within the tech industry]</t>
  </si>
  <si>
    <t>Rate the following challenges in terms of their significance to your marketing efforts (1 = Most Significant, 5 = Least Significant): [Rapidly changing digital marketing landscape/algorithms]</t>
  </si>
  <si>
    <t>Rate the following challenges in terms of their significance to your marketing efforts (1 = Most Significant, 5 = Least Significant): [Measuring Return on Investment (ROI) effectively]</t>
  </si>
  <si>
    <t>Rate the following challenges in terms of their significance to your marketing efforts (1 = Most Significant, 5 = Least Significant): [Building brand awareness and recognition]</t>
  </si>
  <si>
    <t>Rate the following challenges in terms of their significance to your marketing efforts (1 = Most Significant, 5 = Least Significant): [Customer acquisition and retention]</t>
  </si>
  <si>
    <t>Rate the following challenges in terms of their significance to your marketing efforts (1 = Most Significant, 5 = Least Significant): [Data privacy and compliance concerns]</t>
  </si>
  <si>
    <t>Rate the following challenges in terms of their significance to your marketing efforts (1 = Most Significant, 5 = Least Significant): [Resistance to change or adoption of new technologies by the target market]</t>
  </si>
  <si>
    <t>Customer Centric Approach</t>
  </si>
  <si>
    <t>Market Research</t>
  </si>
  <si>
    <t>Yes, occasionally</t>
  </si>
  <si>
    <t>Annually</t>
  </si>
  <si>
    <t>Market Expansion</t>
  </si>
  <si>
    <t>Only when necessary (e.g., due to market changes or new products)</t>
  </si>
  <si>
    <t>Conversion Rates (e.g., sign-ups, purchases)</t>
  </si>
  <si>
    <t>Search Engine Optimization (SEO), Social Media Marketing (Organic), Social Media Advertising (Paid), Email Marketing</t>
  </si>
  <si>
    <t>Extremely Important</t>
  </si>
  <si>
    <t>Yes, consistently</t>
  </si>
  <si>
    <t>Webinars and online courses</t>
  </si>
  <si>
    <t>Product line extension</t>
  </si>
  <si>
    <t>Lead Generation (number of leads)</t>
  </si>
  <si>
    <t>Industry blogs and publications</t>
  </si>
  <si>
    <t>Founder’s technical expertise</t>
  </si>
  <si>
    <t>Yes, regularly</t>
  </si>
  <si>
    <t>Diversification</t>
  </si>
  <si>
    <t>Monthly</t>
  </si>
  <si>
    <t>Social Media Engagement (likes, shares, comments)</t>
  </si>
  <si>
    <t>Customer feedback</t>
  </si>
  <si>
    <t>No, but we plan to in the future</t>
  </si>
  <si>
    <t>Rarely upgraded</t>
  </si>
  <si>
    <t>Resellers/Channel Partners</t>
  </si>
  <si>
    <t>Social Media Marketing (Organic)</t>
  </si>
  <si>
    <t>Structured Management approach</t>
  </si>
  <si>
    <t>Industry blogs and publications, Webinars and online courses, Conferences and workshops, Mentors or industry experts</t>
  </si>
  <si>
    <t>Only when required</t>
  </si>
  <si>
    <t>Product Improvement</t>
  </si>
  <si>
    <t>Website Traffic</t>
  </si>
  <si>
    <t>Subscription Model</t>
  </si>
  <si>
    <t>Return on Investment (ROI)</t>
  </si>
  <si>
    <t>Affiliate Marketing</t>
  </si>
  <si>
    <t>Not Important</t>
  </si>
  <si>
    <t>Quarterly</t>
  </si>
  <si>
    <t>Social Media Advertising (Paid)</t>
  </si>
  <si>
    <t>Moderately Important</t>
  </si>
  <si>
    <t>Email Marketing</t>
  </si>
  <si>
    <t>Slightly Important</t>
  </si>
  <si>
    <t>Search Engine Optimization (SEO), Social Media Marketing (Organic)</t>
  </si>
  <si>
    <t>Industry blogs and publications, Conferences and workshops</t>
  </si>
  <si>
    <t>Very Important</t>
  </si>
  <si>
    <t>Customer Acquisition Cost (CAC)</t>
  </si>
  <si>
    <t>Webinars and online courses, Conferences and workshops</t>
  </si>
  <si>
    <t>Brand Awareness (e.g., mentions, surveys)</t>
  </si>
  <si>
    <t>Search Engine Optimization (SEO), Email Marketing, Influencer Marketing</t>
  </si>
  <si>
    <t>Search Engine Optimization (SEO), Social Media Marketing (Organic), Content Marketing (e.g., blogging, video marketing), Influencer Marketing, Online PR/Media Outreach</t>
  </si>
  <si>
    <t>Traditional sequential development</t>
  </si>
  <si>
    <t>Social Media Marketing (Organic), Pay-Per-Click (PPC) Advertising (e.g., Google Ads)</t>
  </si>
  <si>
    <t>Social Media Marketing (Organic), Content Marketing (e.g., blogging, video marketing), Influencer Marketing, Affiliate Marketing</t>
  </si>
  <si>
    <t>Industry blogs and publications, Conferences and workshops, Experimentation and trial-and-error</t>
  </si>
  <si>
    <t>No, we do not currently involve customers</t>
  </si>
  <si>
    <t>Social Media Advertising (Paid), Influencer Marketing, Online PR/Media Outreach</t>
  </si>
  <si>
    <t>Design Thinking approach</t>
  </si>
  <si>
    <t>Content Marketing (e.g., blogging, video marketing), Email Marketing</t>
  </si>
  <si>
    <t>Industry blogs and publications, Experimentation and trial-and-error</t>
  </si>
  <si>
    <t>No, we do not currently employ data analytics</t>
  </si>
  <si>
    <t>Industry blogs and publications, Webinars and online courses, Conferences and workshops, Mentors or industry experts, Experimentation and trial-and-error</t>
  </si>
  <si>
    <t>Social Media Marketing (e.g., Facebook, Instagram, LinkedIn, X), Email Marketing, Referral Programs, Partnerships and Collaborations</t>
  </si>
  <si>
    <t>Email Marketing, Affiliate Marketing</t>
  </si>
  <si>
    <t>Industry blogs and publications, Webinars and online courses, Experimentation and trial-and-error</t>
  </si>
  <si>
    <t>Referral Programs</t>
  </si>
  <si>
    <t>Content Marketing (e.g., blogging, video marketing)</t>
  </si>
  <si>
    <t>Conferences and workshops</t>
  </si>
  <si>
    <t>Content Marketing (e.g., blogging, video marketing), Email Marketing, Online PR/Media Outreach, Affiliate Marketing</t>
  </si>
  <si>
    <t>Public Relations (PR)</t>
  </si>
  <si>
    <t>Public Relations (PR), Partnerships and Collaborations</t>
  </si>
  <si>
    <t>Online PR/Media Outreach</t>
  </si>
  <si>
    <t>Webinars and online courses, Conferences and workshops, Mentors or industry experts</t>
  </si>
  <si>
    <t>Renewable Energy</t>
  </si>
  <si>
    <t>Distributors</t>
  </si>
  <si>
    <t>saas, geospatial technology</t>
  </si>
  <si>
    <t>Search Engine Optimization (SEO), Social Media Marketing (Organic), Social Media Advertising (Paid), GoogleMyBusiness</t>
  </si>
  <si>
    <t>Manufacturing</t>
  </si>
  <si>
    <t>Search Engine Optimization (SEO), Email Marketing, Partnerships and Collaborations</t>
  </si>
  <si>
    <t>Search Engine Optimization (SEO), Email Marketing</t>
  </si>
  <si>
    <t>manufacturing</t>
  </si>
  <si>
    <t>Social Media Marketing (e.g., Facebook, Instagram, LinkedIn, X), Email Marketing</t>
  </si>
  <si>
    <t>Conferences and workshops, Mentors or industry experts</t>
  </si>
  <si>
    <t>Experimentation and trial-and-error</t>
  </si>
  <si>
    <t>Social Media Marketing (Organic), Social Media Advertising (Paid)</t>
  </si>
  <si>
    <t xml:space="preserve">Email Marketing, Personal meeting </t>
  </si>
  <si>
    <t>Mouth to mouth publicity</t>
  </si>
  <si>
    <t>35 - 44</t>
  </si>
  <si>
    <t>Design Thinking Approach</t>
  </si>
  <si>
    <t>Pay-Per-Click (PPC) Advertising (e.g., Google Ads), Online PR / Media Outreach</t>
  </si>
  <si>
    <t>Webinars and online courses, Mentors or industry experts</t>
  </si>
  <si>
    <t>25 - 34</t>
  </si>
  <si>
    <t>Yes, Occasionally</t>
  </si>
  <si>
    <t>Search Engine Optimization (SEO), Social Media Marketing (Organic), Social Media Advertising (Paid), Influencer Marketing, Online PR / Media Outreach</t>
  </si>
  <si>
    <t>18 - 24</t>
  </si>
  <si>
    <t>Structured Management Approach</t>
  </si>
  <si>
    <t>Customer Feedback</t>
  </si>
  <si>
    <t>Social Media Marketing (Organic), Pay-Per-Click (PPC) Advertising (e.g., Google Ads), Online PR / Media Outreach</t>
  </si>
  <si>
    <t>45 - 54</t>
  </si>
  <si>
    <t>Competitor Analysis</t>
  </si>
  <si>
    <t>Search Engine Optimization (SEO), Social Media Marketing (Organic), Social Media Advertising (Paid), Influencer Marketing</t>
  </si>
  <si>
    <t>Only when necessary (e.g., due to market charges or new products)</t>
  </si>
  <si>
    <t>Search Engine Optimization (SEO), Social Media Marketing (Organic), Social Media Advertising (Paid), Pay-Per-Click (PPC) Advertising (e.g., Google Ads), Influencer Marketing</t>
  </si>
  <si>
    <t>Yes, Regularly</t>
  </si>
  <si>
    <t>Search Engine Optimization (SEO)</t>
  </si>
  <si>
    <t>Traditional Sequential Development</t>
  </si>
  <si>
    <t>Influencer Marketing</t>
  </si>
  <si>
    <t>Sr. no.</t>
  </si>
  <si>
    <t xml:space="preserve">3. Agreement Scale Indicate your level of agreement on a 7- point scale: (1 = Strongly disagree, 2 = Disagree, 3 = Moderately disagree, 4 = Neither agree nor disagree, 5 = Moderately agree, 6 = Agree, 7 = Strongly agree.) [Our pricing strategy is aligned </t>
  </si>
  <si>
    <t>3. Agreement Scale Indicate your level of agreement on a 7- point scale: (1 = Strongly disagree, 2 = Disagree, 3 = Moderately disagree, 4 = Neither agree nor disagree, 5 = Moderately agree, 6 = Agree, 7 = Strongly agree.) [We do offer different level of p</t>
  </si>
  <si>
    <t xml:space="preserve">3. Agreement Scale Indicate your level of agreement on a 7- point scale: (1 = Strongly disagree, 2 = Disagree, 3 = Moderately disagree, 4 = Neither agree nor disagree, 5 = Moderately agree, 6 = Agree, 7 = Strongly agree.) [We regularly monitor competitor </t>
  </si>
  <si>
    <t>3. Agreement Scale Indicate your level of agreement on a 7- point scale: (1 = Strongly disagree, 2 = Disagree, 3 = Moderately disagree, 4 = Neither agree nor disagree, 5 = Moderately agree, 6 = Agree, 7 = Strongly agree.) [We face problem of intense compe</t>
  </si>
  <si>
    <t>3. Agreement Scale Indicate your level of agreement on a 7- point scale: (1 = Strongly disagree, 2 = Disagree, 3 = Moderately disagree, 4 = Neither agree nor disagree, 5 = Moderately agree, 6 = Agree, 7 = Strongly agree.) [High production cost is one of t</t>
  </si>
  <si>
    <t>3. Agreement Scale Indicate your level of agreement on a 7- point scale: (1 = Strongly disagree, 2 = Disagree, 3 = Moderately disagree, 4 = Neither agree nor disagree, 5 = Moderately agree, 6 = Agree, 7 = Strongly agree.) [Managing pricing across differen</t>
  </si>
  <si>
    <t>3. Agreement Scale Indicate your level of agreement on a 7- point scale: (1 = Strongly disagree, 2 = Disagree, 3 = Moderately disagree, 4 = Neither agree nor disagree, 5 = Moderately agree, 6 = Agree, 7 = Strongly agree.) [We use technology tools/software</t>
  </si>
  <si>
    <t xml:space="preserve">3. Agreement Scale Indicate your level of agreement on a 7- point scale: (1 = Strongly disagree, 2 = Disagree, 3 = Moderately disagree, 4 = Neither agree nor disagree, 5 = Moderately agree, 6 = Agree, 7 = Strongly agree.) [Automation tools help us manage </t>
  </si>
  <si>
    <t>2. Importance Scale – Rate the importance of the following factors for promotional efforts: (1 = Not Important at All, 2= Somewhat important, 3 = Moderately Important, 4= Very Important, 5 = Extremely Important) Indicate your agreement on the Agreement Sc</t>
  </si>
  <si>
    <t>2. Importance Scale – Rate the importance of the following factors for promotional efforts: (1 = Not Important at All, 2= Somewhat important, 3 = Moderately Important, 4= Very Important, 5 = Extremely Important) Indicate your agreement on the Agreement2</t>
  </si>
  <si>
    <t>2. Importance Scale – Rate the importance of the following factors for promotional efforts: (1 = Not Important at All, 2= Somewhat important, 3 = Moderately Important, 4= Very Important, 5 = Extremely Important) Indicate your agreement on the Agreement3</t>
  </si>
  <si>
    <t>2. Importance Scale – Rate the importance of the following factors for promotional efforts: (1 = Not Important at All, 2= Somewhat important, 3 = Moderately Important, 4= Very Important, 5 = Extremely Important) Indicate your agreement on the Agreement4</t>
  </si>
  <si>
    <t>2. Importance Scale – Rate the importance of the following factors for promotional efforts: (1 = Not Important at All, 2= Somewhat important, 3 = Moderately Important, 4= Very Important, 5 = Extremely Important) Indicate your agreement on the Agreement5</t>
  </si>
  <si>
    <t>2. Importance Scale – Rate the importance of the following factors for Distribution Strategy: ) ) ) ) ) ) (1 = Not Important at All, 2= Somewhat important, 3 = Moderately Important, 4= Very Important, 5 = Extremely Important) [How important is a wide reac</t>
  </si>
  <si>
    <t>2. Importance Scale – Rate the importance of the following factors for Distribution Strategy: ) ) ) ) ) ) (1 = Not Important at All, 2= Somewhat important, 3 = Moderately Important, 4= Very Important, 5 = Extremely Important) [How important is Digital Pla</t>
  </si>
  <si>
    <t>2. Importance Scale – Rate the importance of the following factors for Distribution Strategy: ) ) ) ) ) ) (1 = Not Important at All, 2= Somewhat important, 3 = Moderately Important, 4= Very Important, 5 = Extremely Important) [Buying habits of the consume</t>
  </si>
  <si>
    <t>Every 3-6 months</t>
  </si>
  <si>
    <t>Row Labels</t>
  </si>
  <si>
    <t>Grand Total</t>
  </si>
  <si>
    <t>Column Labels</t>
  </si>
  <si>
    <t>(All)</t>
  </si>
  <si>
    <t>Sum of Rate the following challenges in terms of their significance to your marketing efforts (1 = Most Significant, 5 = Least Significant): [Limited marketing budget]</t>
  </si>
  <si>
    <t>Average rating</t>
  </si>
  <si>
    <t>Latest Technologies</t>
  </si>
  <si>
    <t>Industry Expert</t>
  </si>
  <si>
    <t>Factor</t>
  </si>
  <si>
    <t>Pricing Strategy</t>
  </si>
  <si>
    <t>Levels of pricing</t>
  </si>
  <si>
    <t>Monitor Competitor pricing</t>
  </si>
  <si>
    <t>Intense Competition</t>
  </si>
  <si>
    <t>High Production Cost hurdle</t>
  </si>
  <si>
    <t>Manage pricing across different market difficult</t>
  </si>
  <si>
    <t>Use Of software to monitor competitor prices</t>
  </si>
  <si>
    <t>Automation tools help manage dynamic pricing</t>
  </si>
  <si>
    <t>Strong brand identity</t>
  </si>
  <si>
    <t>Calrity on Target customers</t>
  </si>
  <si>
    <t>Proposition Communication</t>
  </si>
  <si>
    <t>Digital marketing</t>
  </si>
  <si>
    <t>Budget allocation &amp; Resource efficiency</t>
  </si>
  <si>
    <t>Importance of wide reach in distribution strategy</t>
  </si>
  <si>
    <t>Digital platform in distribution strategy</t>
  </si>
  <si>
    <t>Nature of Product</t>
  </si>
  <si>
    <t>Nature of Market</t>
  </si>
  <si>
    <t>Buying habits of customer</t>
  </si>
  <si>
    <t>Competition</t>
  </si>
  <si>
    <t>Government regulations</t>
  </si>
  <si>
    <t>Limited Marketing Budget</t>
  </si>
  <si>
    <t>Lack of in-house marketing expertise</t>
  </si>
  <si>
    <t>Difficult to identify target audience</t>
  </si>
  <si>
    <t>Competition within tech industry</t>
  </si>
  <si>
    <t>Dynamic digital market landscape/algorithms</t>
  </si>
  <si>
    <t>Measure ROI effectively</t>
  </si>
  <si>
    <t>Built brand awareness and recognition</t>
  </si>
  <si>
    <t>Customer acquisition and retention</t>
  </si>
  <si>
    <t>Data Privacy and Compliance concerns</t>
  </si>
  <si>
    <t>Resistance to adoption of new technology by target market</t>
  </si>
  <si>
    <t xml:space="preserve">Count </t>
  </si>
  <si>
    <t>Attribute</t>
  </si>
  <si>
    <t>Value</t>
  </si>
  <si>
    <t>Count of Value</t>
  </si>
  <si>
    <t xml:space="preserve">Cost-plus Pricing , Penetration Pricing </t>
  </si>
  <si>
    <t>Cost-plus Pricing , Skimming Pricing</t>
  </si>
  <si>
    <t xml:space="preserve">Value-based Pricing, Competitor-based Pricing </t>
  </si>
  <si>
    <t>Cost-plus Pricing</t>
  </si>
  <si>
    <t>Value-based Pricing</t>
  </si>
  <si>
    <t xml:space="preserve">Cost-plus Pricing </t>
  </si>
  <si>
    <t xml:space="preserve">Competitor-based Pricing </t>
  </si>
  <si>
    <t xml:space="preserve">Value-based Pricing </t>
  </si>
  <si>
    <t xml:space="preserve">Only when necessary </t>
  </si>
  <si>
    <t>Social Media Marketing , Search Engine Optimization (SEO), Pay-Per-Click (PPC) Advertising , Email Marketing</t>
  </si>
  <si>
    <t xml:space="preserve">Social Media Marketing </t>
  </si>
  <si>
    <t>Social Media Marketing , Content Marketing, Search Engine Optimization (SEO)</t>
  </si>
  <si>
    <t>Social Media Marketing , Search Engine Optimization (SEO), Email Marketing, Public Relations (PR)</t>
  </si>
  <si>
    <t>Social Media Marketing , Content Marketing , Public Relations (PR)</t>
  </si>
  <si>
    <t xml:space="preserve">Social Media Marketing, Content Marketing , Pay-Per-Click (PPC) Advertising </t>
  </si>
  <si>
    <t xml:space="preserve">Social Media Marketing, Email Marketing, Event Marketing </t>
  </si>
  <si>
    <t>Social Media Marketing, Content Marketing</t>
  </si>
  <si>
    <t>Social Media Marketing , Search Engine Optimization (SEO), Email Marketing, Public Relations (PR), Referral Programs, Partnerships and Collaborations</t>
  </si>
  <si>
    <t>Social Media Marketing , Content Marketing (e.g., blogs, articles, videos), Search Engine Optimization (SEO), Email Marketing, Public Relations (PR), Partnerships and Collaborations</t>
  </si>
  <si>
    <t>Social Media Marketing</t>
  </si>
  <si>
    <t>Social Media Marketing , Content Marketing , Search Engine Optimization (SEO), Pay-Per-Click (PPC) Advertising , Email Marketing, Public Relations (PR), Event Marketing , Referral Programs, Partnerships and Collaborations</t>
  </si>
  <si>
    <t>Social Media Marketing , Content Marketing , Email Marketing</t>
  </si>
  <si>
    <t>Social Media Marketing , Influencer Marketing</t>
  </si>
  <si>
    <t>Social Media Marketing, Content Marketing , Search Engine Optimization (SEO)</t>
  </si>
  <si>
    <t xml:space="preserve">Social Media Marketing , Content Marketing , Email Marketing, Influencer Marketing, Event Marketing </t>
  </si>
  <si>
    <t>Social Media Marketing , Content Marketing , Search Engine Optimization (SEO), Partnerships and Collaborations</t>
  </si>
  <si>
    <t xml:space="preserve">Content Marketing </t>
  </si>
  <si>
    <t xml:space="preserve">Hybrid Approach </t>
  </si>
  <si>
    <t>Direct Sales , Online Marketplaces</t>
  </si>
  <si>
    <t>Direct Sales , Resellers/Channel Partners</t>
  </si>
  <si>
    <t>Direct Sales , Resellers/Channel Partners, Distributors</t>
  </si>
  <si>
    <t xml:space="preserve">Online Marketplaces , Hybrid Approach </t>
  </si>
  <si>
    <t xml:space="preserve">Direct Sales , Online Marketplaces </t>
  </si>
  <si>
    <t xml:space="preserve">Direct Sales </t>
  </si>
  <si>
    <t>Online Marketplaces , Distributors</t>
  </si>
  <si>
    <t>Direct Sales , Online Marketplaces , Wholesalers</t>
  </si>
  <si>
    <t xml:space="preserve">Online Marketplaces, Distributors, Wholesalers, </t>
  </si>
  <si>
    <t>Direct Sales , Resellers/Channel Partners, Distributors, Wholesalers</t>
  </si>
  <si>
    <t xml:space="preserve">Direct Sales, Distributors, Wholesalers, Hybrid Approach </t>
  </si>
  <si>
    <t xml:space="preserve">Online Marketplaces </t>
  </si>
  <si>
    <t>Count of 2. Gender</t>
  </si>
  <si>
    <t>How long has your technopreneurial venture been in operation?</t>
  </si>
  <si>
    <t>What is the primary industry of your technopreneurial venture?</t>
  </si>
  <si>
    <t>What is your highest level of education?</t>
  </si>
  <si>
    <t>Count of: How frequently is the product upgraded technologically?</t>
  </si>
  <si>
    <t>Average of Importance Scale – Rate the importance of the following for product development success:</t>
  </si>
  <si>
    <t>Slicer for "How long has your technopreneurial venture been in operation?"</t>
  </si>
  <si>
    <t>Slicer for "What is the primary industry of your technopreneurial venture?"</t>
  </si>
  <si>
    <t>Slicer for "How frequently is the product upgraded technologically?"</t>
  </si>
  <si>
    <t>Slicer for "What is your highest level of education?"</t>
  </si>
  <si>
    <t>Slicer for columns as attributes</t>
  </si>
  <si>
    <t>Slicer for "primary industry of technopreneurial venture"</t>
  </si>
  <si>
    <t>Slicer for primary industry of technopreneurial venture</t>
  </si>
  <si>
    <t>Slicer for how long the technopreneurial venture has been in operation</t>
  </si>
  <si>
    <t>Average [Automation tools help manage dynamic pricing]</t>
  </si>
  <si>
    <t>Average: [Building brand awareness and recognition]</t>
  </si>
  <si>
    <t>Average: [Data privacy and compliance concerns]</t>
  </si>
  <si>
    <t>Average: [Resistance to change or adoption of new technologies by the target market]</t>
  </si>
  <si>
    <t>Average: [Customer acquisition and retention]</t>
  </si>
  <si>
    <t>Average: [Measuring Return on Investment (ROI) effectively]</t>
  </si>
  <si>
    <t>Average: [Rapidly changing digital marketing landscape/algorithms]</t>
  </si>
  <si>
    <t>Average: [Intense competition within the tech industry]</t>
  </si>
  <si>
    <t>Average: [Difficulty in identifying and targeting the right audience]</t>
  </si>
  <si>
    <t>Average: [Lack of in-house marketing expertise]</t>
  </si>
  <si>
    <t>Average: [Limited marketing budget]</t>
  </si>
  <si>
    <t>Average: [Government Regulations]</t>
  </si>
  <si>
    <t>Average:[Competition]</t>
  </si>
  <si>
    <t>Average:[Nature of Market]</t>
  </si>
  <si>
    <t>Average:[Nature of Product]</t>
  </si>
  <si>
    <t>Average:[How important is Digital Platform in distrubution strategy]</t>
  </si>
  <si>
    <t>Average:[How important is a wide reach in distribution strategy]</t>
  </si>
  <si>
    <t>Average: [Building a strong brand identity]</t>
  </si>
  <si>
    <t>Average: [Buying habits of the consumer]</t>
  </si>
  <si>
    <t>Average product development success: [Market Research]</t>
  </si>
  <si>
    <t>Average product development success:[Access to latest technologies]</t>
  </si>
  <si>
    <t>Average:[Clarity on target customers]</t>
  </si>
  <si>
    <t>Average:[Strong value proposition communication]</t>
  </si>
  <si>
    <t>Average:[Digital Marketing capabilities]</t>
  </si>
  <si>
    <t>Average:[Budget Allocation &amp; Resource Efficiency]</t>
  </si>
  <si>
    <t>Average:[We use technology tools/software to monitor competitor pricing]</t>
  </si>
  <si>
    <t>Average:[Managing pricing across different markets is extremely difficult]</t>
  </si>
  <si>
    <t>Average:[High production cost is one of the major hurdles in setting the price]</t>
  </si>
  <si>
    <t>Average:[We do offer different level of pricing to different customers]</t>
  </si>
  <si>
    <t>Average:[We face problem of intense competition while setting the price]</t>
  </si>
  <si>
    <t>Average:[We regularly monitor competitor pricing and adjust accordingly]</t>
  </si>
  <si>
    <t>Average:[Our pricing strategy is aligned with our overall business strategy]</t>
  </si>
  <si>
    <t>Average product development success: [customer feedback]</t>
  </si>
  <si>
    <t>Average product development success: [collaboration with industry experts]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</si>
</sst>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0"/>
      <color rgb="FFFFFFFF"/>
      <name val="Roboto"/>
    </font>
    <font>
      <sz val="10"/>
      <color rgb="FF434343"/>
      <name val="Roboto"/>
    </font>
    <font>
      <b/>
      <sz val="11"/>
      <color theme="1"/>
      <name val="Calibri"/>
      <family val="2"/>
      <scheme val="minor"/>
    </font>
    <font>
      <sz val="11"/>
      <color theme="0"/>
      <name val="Calibri"/>
      <family val="2"/>
      <scheme val="minor"/>
    </font>
    <font>
      <b/>
      <sz val="16"/>
      <color theme="1"/>
      <name val="Calibri"/>
      <family val="2"/>
      <scheme val="minor"/>
    </font>
    <font>
      <sz val="14"/>
      <color theme="1"/>
      <name val="Calibri"/>
      <family val="2"/>
      <scheme val="minor"/>
    </font>
  </fonts>
  <fills count="7">
    <fill>
      <patternFill patternType="none"/>
    </fill>
    <fill>
      <patternFill patternType="gray125"/>
    </fill>
    <fill>
      <patternFill patternType="solid">
        <fgColor rgb="FF5B3F86"/>
        <bgColor indexed="64"/>
      </patternFill>
    </fill>
    <fill>
      <patternFill patternType="solid">
        <fgColor rgb="FFFFFFFF"/>
        <bgColor indexed="64"/>
      </patternFill>
    </fill>
    <fill>
      <patternFill patternType="solid">
        <fgColor rgb="FFF8F9FA"/>
        <bgColor indexed="64"/>
      </patternFill>
    </fill>
    <fill>
      <patternFill patternType="solid">
        <fgColor theme="4" tint="0.79998168889431442"/>
        <bgColor indexed="64"/>
      </patternFill>
    </fill>
    <fill>
      <patternFill patternType="solid">
        <fgColor theme="9" tint="0.5999938962981048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7">
    <xf numFmtId="0" fontId="0" fillId="0" borderId="0" xfId="0"/>
    <xf numFmtId="0" fontId="0" fillId="0" borderId="0" xfId="0" applyAlignment="1">
      <alignment vertical="center" wrapText="1"/>
    </xf>
    <xf numFmtId="0" fontId="2" fillId="3" borderId="1" xfId="0" applyFont="1" applyFill="1" applyBorder="1" applyAlignment="1">
      <alignment vertical="center" wrapText="1"/>
    </xf>
    <xf numFmtId="0" fontId="2" fillId="3" borderId="1" xfId="0" applyFont="1" applyFill="1" applyBorder="1" applyAlignment="1">
      <alignment horizontal="right" vertical="center" wrapText="1"/>
    </xf>
    <xf numFmtId="0" fontId="2" fillId="4" borderId="1" xfId="0" applyFont="1" applyFill="1" applyBorder="1" applyAlignment="1">
      <alignment vertical="center" wrapText="1"/>
    </xf>
    <xf numFmtId="0" fontId="2" fillId="4" borderId="1" xfId="0" applyFont="1" applyFill="1" applyBorder="1" applyAlignment="1">
      <alignment horizontal="right" vertical="center" wrapText="1"/>
    </xf>
    <xf numFmtId="0" fontId="0" fillId="0" borderId="1" xfId="0" applyBorder="1" applyAlignment="1">
      <alignment vertical="center" wrapText="1"/>
    </xf>
    <xf numFmtId="0" fontId="0" fillId="0" borderId="2" xfId="0" applyBorder="1" applyAlignment="1">
      <alignment horizontal="center" vertical="center" wrapText="1"/>
    </xf>
    <xf numFmtId="0" fontId="2" fillId="3" borderId="3" xfId="0" applyFont="1" applyFill="1" applyBorder="1" applyAlignment="1">
      <alignment horizontal="right" vertical="center" wrapText="1"/>
    </xf>
    <xf numFmtId="0" fontId="2" fillId="4" borderId="3" xfId="0" applyFont="1" applyFill="1" applyBorder="1" applyAlignment="1">
      <alignment horizontal="right" vertical="center" wrapText="1"/>
    </xf>
    <xf numFmtId="0" fontId="0" fillId="0" borderId="3" xfId="0" applyBorder="1" applyAlignment="1">
      <alignment vertical="center" wrapText="1"/>
    </xf>
    <xf numFmtId="0" fontId="1" fillId="2" borderId="4" xfId="0" applyFont="1" applyFill="1" applyBorder="1" applyAlignment="1">
      <alignment vertical="center" wrapText="1"/>
    </xf>
    <xf numFmtId="0" fontId="1" fillId="2" borderId="5" xfId="0" applyFont="1" applyFill="1" applyBorder="1" applyAlignment="1">
      <alignment vertical="center" wrapText="1"/>
    </xf>
    <xf numFmtId="0" fontId="1" fillId="2" borderId="6" xfId="0" applyFont="1" applyFill="1" applyBorder="1" applyAlignment="1">
      <alignment vertical="center" wrapText="1"/>
    </xf>
    <xf numFmtId="0" fontId="0" fillId="0" borderId="7" xfId="0" applyBorder="1" applyAlignment="1">
      <alignment horizontal="center" vertical="center" wrapText="1"/>
    </xf>
    <xf numFmtId="0" fontId="0" fillId="0" borderId="8" xfId="0" applyBorder="1" applyAlignment="1">
      <alignment vertical="center" wrapText="1"/>
    </xf>
    <xf numFmtId="0" fontId="0" fillId="0" borderId="9" xfId="0" applyBorder="1" applyAlignment="1">
      <alignment vertical="center" wrapText="1"/>
    </xf>
    <xf numFmtId="0" fontId="0" fillId="0" borderId="0" xfId="0" pivotButton="1"/>
    <xf numFmtId="0" fontId="0" fillId="0" borderId="0" xfId="0" applyAlignment="1">
      <alignment wrapText="1"/>
    </xf>
    <xf numFmtId="0" fontId="3" fillId="0" borderId="1" xfId="0" applyFont="1" applyBorder="1" applyAlignment="1">
      <alignment vertical="center" wrapText="1"/>
    </xf>
    <xf numFmtId="0" fontId="0" fillId="0" borderId="1" xfId="0" applyBorder="1" applyAlignment="1">
      <alignment horizontal="left"/>
    </xf>
    <xf numFmtId="0" fontId="0" fillId="0" borderId="1" xfId="0" applyBorder="1" applyAlignment="1">
      <alignment horizontal="left" wrapText="1"/>
    </xf>
    <xf numFmtId="0" fontId="4" fillId="0" borderId="0" xfId="0" applyFont="1"/>
    <xf numFmtId="0" fontId="3" fillId="5" borderId="1" xfId="0" applyFont="1" applyFill="1" applyBorder="1" applyAlignment="1">
      <alignment horizontal="left"/>
    </xf>
    <xf numFmtId="0" fontId="3" fillId="5" borderId="1" xfId="0" applyFont="1" applyFill="1" applyBorder="1"/>
    <xf numFmtId="0" fontId="6" fillId="0" borderId="0" xfId="0" applyFont="1" applyAlignment="1">
      <alignment vertical="top"/>
    </xf>
    <xf numFmtId="0" fontId="3" fillId="0" borderId="1" xfId="0" applyFont="1" applyBorder="1" applyAlignment="1">
      <alignment horizontal="left" wrapText="1"/>
    </xf>
    <xf numFmtId="0" fontId="3" fillId="0" borderId="1" xfId="0" applyFont="1" applyBorder="1" applyAlignment="1">
      <alignment horizontal="left"/>
    </xf>
    <xf numFmtId="0" fontId="0" fillId="0" borderId="1" xfId="0" applyBorder="1"/>
    <xf numFmtId="0" fontId="0" fillId="0" borderId="1" xfId="0" pivotButton="1" applyBorder="1"/>
    <xf numFmtId="0" fontId="0" fillId="0" borderId="1" xfId="0" applyBorder="1" applyAlignment="1">
      <alignment wrapText="1"/>
    </xf>
    <xf numFmtId="2" fontId="0" fillId="0" borderId="1" xfId="0" applyNumberFormat="1" applyBorder="1"/>
    <xf numFmtId="0" fontId="0" fillId="0" borderId="1" xfId="0" pivotButton="1" applyBorder="1" applyAlignment="1">
      <alignment horizontal="center" vertical="center"/>
    </xf>
    <xf numFmtId="0" fontId="0" fillId="0" borderId="1" xfId="0" pivotButton="1" applyBorder="1" applyAlignment="1">
      <alignment horizontal="center" vertical="center" wrapText="1"/>
    </xf>
    <xf numFmtId="0" fontId="3" fillId="0" borderId="1" xfId="0" pivotButton="1" applyFont="1" applyBorder="1" applyAlignment="1">
      <alignment horizontal="center" vertical="center" wrapText="1"/>
    </xf>
    <xf numFmtId="0" fontId="3" fillId="0" borderId="1" xfId="0" pivotButton="1" applyFont="1" applyBorder="1" applyAlignment="1">
      <alignment horizontal="center" wrapText="1"/>
    </xf>
    <xf numFmtId="0" fontId="0" fillId="0" borderId="1" xfId="0" applyBorder="1" applyAlignment="1">
      <alignment horizontal="center"/>
    </xf>
    <xf numFmtId="0" fontId="0" fillId="0" borderId="1" xfId="0" pivotButton="1" applyBorder="1" applyAlignment="1">
      <alignment horizontal="left"/>
    </xf>
    <xf numFmtId="0" fontId="3" fillId="6" borderId="0" xfId="0" applyFont="1" applyFill="1" applyAlignment="1">
      <alignment vertical="center" wrapText="1"/>
    </xf>
    <xf numFmtId="0" fontId="3" fillId="6" borderId="0" xfId="0" applyFont="1" applyFill="1" applyAlignment="1">
      <alignment wrapText="1"/>
    </xf>
    <xf numFmtId="0" fontId="0" fillId="0" borderId="1" xfId="0" applyBorder="1" applyAlignment="1">
      <alignment horizontal="left" vertical="center" wrapText="1"/>
    </xf>
    <xf numFmtId="0" fontId="0" fillId="0" borderId="6" xfId="0" applyBorder="1" applyAlignment="1">
      <alignment horizontal="left"/>
    </xf>
    <xf numFmtId="0" fontId="6" fillId="0" borderId="1" xfId="0" pivotButton="1" applyFont="1" applyBorder="1" applyAlignment="1">
      <alignment horizontal="center" vertical="center"/>
    </xf>
    <xf numFmtId="0" fontId="6" fillId="0" borderId="1" xfId="0" applyFont="1" applyBorder="1" applyAlignment="1">
      <alignment horizontal="left" vertical="center" wrapText="1"/>
    </xf>
    <xf numFmtId="0" fontId="5" fillId="0" borderId="1" xfId="0" applyFont="1" applyBorder="1" applyAlignment="1">
      <alignment horizontal="left"/>
    </xf>
    <xf numFmtId="0" fontId="0" fillId="0" borderId="1" xfId="0" applyBorder="1" applyAlignment="1">
      <alignment vertical="top" wrapText="1"/>
    </xf>
    <xf numFmtId="0" fontId="0" fillId="0" borderId="1" xfId="0" applyNumberFormat="1" applyBorder="1"/>
  </cellXfs>
  <cellStyles count="1">
    <cellStyle name="Normal" xfId="0" builtinId="0"/>
  </cellStyles>
  <dxfs count="296">
    <dxf>
      <alignment wrapText="1"/>
    </dxf>
    <dxf>
      <border>
        <left style="thin">
          <color auto="1"/>
        </left>
        <right style="thin">
          <color auto="1"/>
        </right>
        <top style="thin">
          <color auto="1"/>
        </top>
        <bottom style="thin">
          <color auto="1"/>
        </bottom>
        <horizontal style="thin">
          <color auto="1"/>
        </horizontal>
      </border>
    </dxf>
    <dxf>
      <alignment vertical="center"/>
    </dxf>
    <dxf>
      <border>
        <left style="thin">
          <color auto="1"/>
        </left>
        <right style="thin">
          <color auto="1"/>
        </right>
        <top style="thin">
          <color auto="1"/>
        </top>
        <bottom style="thin">
          <color auto="1"/>
        </bottom>
        <horizontal style="thin">
          <color auto="1"/>
        </horizontal>
      </border>
    </dxf>
    <dxf>
      <border>
        <left style="thin">
          <color auto="1"/>
        </left>
        <right style="thin">
          <color auto="1"/>
        </right>
        <top style="thin">
          <color auto="1"/>
        </top>
        <bottom style="thin">
          <color auto="1"/>
        </bottom>
        <horizontal style="thin">
          <color auto="1"/>
        </horizontal>
      </border>
    </dxf>
    <dxf>
      <border>
        <left style="thin">
          <color indexed="64"/>
        </left>
        <bottom style="thin">
          <color indexed="64"/>
        </bottom>
      </border>
    </dxf>
    <dxf>
      <alignment wrapText="1"/>
    </dxf>
    <dxf>
      <border>
        <left style="thin">
          <color auto="1"/>
        </left>
        <right style="thin">
          <color auto="1"/>
        </right>
        <top style="thin">
          <color auto="1"/>
        </top>
        <bottom style="thin">
          <color auto="1"/>
        </bottom>
        <horizontal style="thin">
          <color auto="1"/>
        </horizontal>
      </border>
    </dxf>
    <dxf>
      <alignment vertical="center"/>
    </dxf>
    <dxf>
      <border>
        <left style="thin">
          <color auto="1"/>
        </left>
        <right style="thin">
          <color auto="1"/>
        </right>
        <top style="thin">
          <color auto="1"/>
        </top>
        <bottom style="thin">
          <color auto="1"/>
        </bottom>
        <horizontal style="thin">
          <color auto="1"/>
        </horizontal>
      </border>
    </dxf>
    <dxf>
      <border>
        <left style="thin">
          <color auto="1"/>
        </left>
        <right style="thin">
          <color auto="1"/>
        </right>
        <top style="thin">
          <color auto="1"/>
        </top>
        <bottom style="thin">
          <color auto="1"/>
        </bottom>
        <horizontal style="thin">
          <color auto="1"/>
        </horizontal>
      </border>
    </dxf>
    <dxf>
      <border>
        <left style="thin">
          <color indexed="64"/>
        </left>
        <bottom style="thin">
          <color indexed="64"/>
        </bottom>
      </border>
    </dxf>
    <dxf>
      <alignment wrapText="1"/>
    </dxf>
    <dxf>
      <border>
        <left style="thin">
          <color auto="1"/>
        </left>
        <right style="thin">
          <color auto="1"/>
        </right>
        <top style="thin">
          <color auto="1"/>
        </top>
        <bottom style="thin">
          <color auto="1"/>
        </bottom>
        <horizontal style="thin">
          <color auto="1"/>
        </horizontal>
      </border>
    </dxf>
    <dxf>
      <alignment vertical="center"/>
    </dxf>
    <dxf>
      <border>
        <left style="thin">
          <color auto="1"/>
        </left>
        <right style="thin">
          <color auto="1"/>
        </right>
        <top style="thin">
          <color auto="1"/>
        </top>
        <bottom style="thin">
          <color auto="1"/>
        </bottom>
        <horizontal style="thin">
          <color auto="1"/>
        </horizontal>
      </border>
    </dxf>
    <dxf>
      <border>
        <left style="thin">
          <color auto="1"/>
        </left>
        <right style="thin">
          <color auto="1"/>
        </right>
        <top style="thin">
          <color auto="1"/>
        </top>
        <bottom style="thin">
          <color auto="1"/>
        </bottom>
        <horizontal style="thin">
          <color auto="1"/>
        </horizontal>
      </border>
    </dxf>
    <dxf>
      <border>
        <left style="thin">
          <color indexed="64"/>
        </left>
        <bottom style="thin">
          <color indexed="64"/>
        </bottom>
      </border>
    </dxf>
    <dxf>
      <alignment wrapText="1"/>
    </dxf>
    <dxf>
      <border>
        <left style="thin">
          <color auto="1"/>
        </left>
        <right style="thin">
          <color auto="1"/>
        </right>
        <top style="thin">
          <color auto="1"/>
        </top>
        <bottom style="thin">
          <color auto="1"/>
        </bottom>
        <horizontal style="thin">
          <color auto="1"/>
        </horizontal>
      </border>
    </dxf>
    <dxf>
      <alignment vertical="center"/>
    </dxf>
    <dxf>
      <border>
        <left style="thin">
          <color auto="1"/>
        </left>
        <right style="thin">
          <color auto="1"/>
        </right>
        <top style="thin">
          <color auto="1"/>
        </top>
        <bottom style="thin">
          <color auto="1"/>
        </bottom>
        <horizontal style="thin">
          <color auto="1"/>
        </horizontal>
      </border>
    </dxf>
    <dxf>
      <border>
        <left style="thin">
          <color auto="1"/>
        </left>
        <right style="thin">
          <color auto="1"/>
        </right>
        <top style="thin">
          <color auto="1"/>
        </top>
        <bottom style="thin">
          <color auto="1"/>
        </bottom>
        <horizontal style="thin">
          <color auto="1"/>
        </horizontal>
      </border>
    </dxf>
    <dxf>
      <border>
        <left style="thin">
          <color indexed="64"/>
        </left>
        <bottom style="thin">
          <color indexed="64"/>
        </bottom>
      </border>
    </dxf>
    <dxf>
      <alignment wrapText="1"/>
    </dxf>
    <dxf>
      <border>
        <left style="thin">
          <color auto="1"/>
        </left>
        <right style="thin">
          <color auto="1"/>
        </right>
        <top style="thin">
          <color auto="1"/>
        </top>
        <bottom style="thin">
          <color auto="1"/>
        </bottom>
        <horizontal style="thin">
          <color auto="1"/>
        </horizontal>
      </border>
    </dxf>
    <dxf>
      <alignment vertical="center"/>
    </dxf>
    <dxf>
      <border>
        <left style="thin">
          <color auto="1"/>
        </left>
        <right style="thin">
          <color auto="1"/>
        </right>
        <top style="thin">
          <color auto="1"/>
        </top>
        <bottom style="thin">
          <color auto="1"/>
        </bottom>
        <horizontal style="thin">
          <color auto="1"/>
        </horizontal>
      </border>
    </dxf>
    <dxf>
      <border>
        <left style="thin">
          <color auto="1"/>
        </left>
        <right style="thin">
          <color auto="1"/>
        </right>
        <top style="thin">
          <color auto="1"/>
        </top>
        <bottom style="thin">
          <color auto="1"/>
        </bottom>
        <horizontal style="thin">
          <color auto="1"/>
        </horizontal>
      </border>
    </dxf>
    <dxf>
      <border>
        <left style="thin">
          <color indexed="64"/>
        </left>
        <bottom style="thin">
          <color indexed="64"/>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alignment horizontal="left"/>
    </dxf>
    <dxf>
      <alignment horizontal="center"/>
    </dxf>
    <dxf>
      <alignment vertical="center"/>
    </dxf>
    <dxf>
      <alignment vertical="center"/>
    </dxf>
    <dxf>
      <font>
        <sz val="14"/>
      </font>
    </dxf>
    <dxf>
      <font>
        <sz val="14"/>
      </font>
    </dxf>
    <dxf>
      <font>
        <b/>
      </font>
    </dxf>
    <dxf>
      <alignment vertical="top" wrapText="1"/>
    </dxf>
    <dxf>
      <alignment vertical="top"/>
    </dxf>
    <dxf>
      <numFmt numFmtId="2" formatCode="0.00"/>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vertical="center"/>
    </dxf>
    <dxf>
      <alignment wrapText="1"/>
    </dxf>
    <dxf>
      <alignment wrapText="1"/>
    </dxf>
    <dxf>
      <numFmt numFmtId="0" formatCode="General"/>
      <alignment horizontal="general" vertical="bottom" textRotation="0" wrapText="1" indent="0" justifyLastLine="0" shrinkToFit="0" readingOrder="0"/>
    </dxf>
    <dxf>
      <numFmt numFmtId="0" formatCode="General"/>
      <alignment horizontal="general" vertical="bottom" textRotation="0" wrapText="1" indent="0" justifyLastLine="0" shrinkToFit="0" readingOrder="0"/>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alignment wrapText="1"/>
    </dxf>
    <dxf>
      <alignment horizontal="left"/>
    </dxf>
    <dxf>
      <alignment horizontal="left"/>
    </dxf>
    <dxf>
      <alignment horizontal="left"/>
    </dxf>
    <dxf>
      <alignment horizontal="left"/>
    </dxf>
    <dxf>
      <alignment horizontal="left"/>
    </dxf>
    <dxf>
      <font>
        <b val="0"/>
      </font>
    </dxf>
    <dxf>
      <alignment horizontal="center"/>
    </dxf>
    <dxf>
      <alignment vertical="center"/>
    </dxf>
    <dxf>
      <alignment vertical="cent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font>
    </dxf>
    <dxf>
      <alignment wrapText="1"/>
    </dxf>
    <dxf>
      <font>
        <b/>
      </font>
    </dxf>
    <dxf>
      <alignment vertical="center"/>
    </dxf>
    <dxf>
      <alignment wrapText="1"/>
    </dxf>
    <dxf>
      <alignment wrapText="1"/>
    </dxf>
    <dxf>
      <alignment horizontal="center"/>
    </dxf>
    <dxf>
      <alignment horizontal="center"/>
    </dxf>
    <dxf>
      <alignment vertical="center"/>
    </dxf>
    <dxf>
      <alignment vertical="cent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alignment vertical="top"/>
    </dxf>
    <dxf>
      <alignment wrapText="1"/>
    </dxf>
    <dxf>
      <alignment horizontal="center"/>
    </dxf>
    <dxf>
      <alignment horizontal="center"/>
    </dxf>
    <dxf>
      <alignment horizontal="center"/>
    </dxf>
    <dxf>
      <alignment vertical="center"/>
    </dxf>
    <dxf>
      <alignment vertical="center"/>
    </dxf>
    <dxf>
      <alignment wrapText="1"/>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alignment wrapText="1"/>
    </dxf>
    <dxf>
      <font>
        <b/>
      </font>
    </dxf>
    <dxf>
      <font>
        <b/>
      </font>
    </dxf>
    <dxf>
      <alignment vertical="center"/>
    </dxf>
    <dxf>
      <alignment wrapText="1"/>
    </dxf>
    <dxf>
      <numFmt numFmtId="2" formatCode="0.00"/>
    </dxf>
    <dxf>
      <alignment wrapText="1"/>
    </dxf>
    <dxf>
      <alignment wrapText="1"/>
    </dxf>
    <dxf>
      <alignment horizontal="center"/>
    </dxf>
    <dxf>
      <alignment horizontal="center"/>
    </dxf>
    <dxf>
      <alignment horizontal="center"/>
    </dxf>
    <dxf>
      <alignment vertical="center"/>
    </dxf>
    <dxf>
      <border>
        <left style="thin">
          <color auto="1"/>
        </left>
        <right style="thin">
          <color auto="1"/>
        </right>
        <top style="thin">
          <color auto="1"/>
        </top>
        <bottom style="thin">
          <color auto="1"/>
        </bottom>
        <vertical style="thin">
          <color auto="1"/>
        </vertical>
        <horizontal style="thin">
          <color auto="1"/>
        </horizontal>
      </border>
    </dxf>
    <dxf>
      <font>
        <b/>
      </font>
    </dxf>
    <dxf>
      <font>
        <b/>
      </font>
    </dxf>
    <dxf>
      <alignment vertical="center"/>
    </dxf>
    <dxf>
      <alignment wrapText="1"/>
    </dxf>
    <dxf>
      <alignment wrapText="1"/>
    </dxf>
    <dxf>
      <numFmt numFmtId="2" formatCode="0.00"/>
    </dxf>
    <dxf>
      <alignment wrapText="1"/>
    </dxf>
    <dxf>
      <alignment wrapText="1"/>
    </dxf>
    <dxf>
      <alignment wrapText="1"/>
    </dxf>
    <dxf>
      <alignment wrapText="1"/>
    </dxf>
    <dxf>
      <alignment wrapText="1"/>
    </dxf>
    <dxf>
      <border>
        <left style="thin">
          <color indexed="64"/>
        </left>
        <bottom style="thin">
          <color indexed="64"/>
        </bottom>
      </border>
    </dxf>
    <dxf>
      <border>
        <left style="thin">
          <color auto="1"/>
        </left>
        <right style="thin">
          <color auto="1"/>
        </right>
        <top style="thin">
          <color auto="1"/>
        </top>
        <bottom style="thin">
          <color auto="1"/>
        </bottom>
        <horizontal style="thin">
          <color auto="1"/>
        </horizontal>
      </border>
    </dxf>
    <dxf>
      <border>
        <left style="thin">
          <color auto="1"/>
        </left>
        <right style="thin">
          <color auto="1"/>
        </right>
        <top style="thin">
          <color auto="1"/>
        </top>
        <bottom style="thin">
          <color auto="1"/>
        </bottom>
        <horizontal style="thin">
          <color auto="1"/>
        </horizontal>
      </border>
    </dxf>
    <dxf>
      <alignment vertical="center"/>
    </dxf>
    <dxf>
      <border>
        <left style="thin">
          <color auto="1"/>
        </left>
        <right style="thin">
          <color auto="1"/>
        </right>
        <top style="thin">
          <color auto="1"/>
        </top>
        <bottom style="thin">
          <color auto="1"/>
        </bottom>
        <horizontal style="thin">
          <color auto="1"/>
        </horizontal>
      </border>
    </dxf>
    <dxf>
      <alignment wrapText="1"/>
    </dxf>
    <dxf>
      <alignment horizontal="general" vertical="center" textRotation="0" wrapText="1" indent="0" justifyLastLine="0" shrinkToFit="0" readingOrder="0"/>
      <border diagonalUp="0" diagonalDown="0" outline="0">
        <left style="thin">
          <color indexed="64"/>
        </left>
        <right/>
        <top style="thin">
          <color indexed="64"/>
        </top>
        <bottom/>
      </border>
    </dxf>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outline="0">
        <left/>
        <right style="thin">
          <color indexed="64"/>
        </right>
        <top style="thin">
          <color indexed="64"/>
        </top>
        <bottom/>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border outline="0">
        <bottom style="thin">
          <color indexed="64"/>
        </bottom>
      </border>
    </dxf>
    <dxf>
      <font>
        <b val="0"/>
        <i val="0"/>
        <strike val="0"/>
        <condense val="0"/>
        <extend val="0"/>
        <outline val="0"/>
        <shadow val="0"/>
        <u val="none"/>
        <vertAlign val="baseline"/>
        <sz val="10"/>
        <color rgb="FFFFFFFF"/>
        <name val="Roboto"/>
        <scheme val="none"/>
      </font>
      <fill>
        <patternFill patternType="solid">
          <fgColor indexed="64"/>
          <bgColor rgb="FF5B3F86"/>
        </patternFill>
      </fill>
      <alignment horizontal="general"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9.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microsoft.com/office/2007/relationships/slicerCache" Target="slicerCaches/slicerCache8.xml"/><Relationship Id="rId10" Type="http://schemas.microsoft.com/office/2007/relationships/slicerCache" Target="slicerCaches/slicerCache3.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07/relationships/slicerCache" Target="slicerCaches/slicerCache7.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 test.xlsx]Sheet 1!PivotTable1</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763026272381616E-2"/>
          <c:y val="8.2779028878148614E-2"/>
          <c:w val="0.57838661897468402"/>
          <c:h val="0.47360359274021396"/>
        </c:manualLayout>
      </c:layout>
      <c:bar3DChart>
        <c:barDir val="col"/>
        <c:grouping val="stacked"/>
        <c:varyColors val="0"/>
        <c:ser>
          <c:idx val="0"/>
          <c:order val="0"/>
          <c:tx>
            <c:strRef>
              <c:f>'Sheet 1'!$B$3:$B$4</c:f>
              <c:strCache>
                <c:ptCount val="1"/>
                <c:pt idx="0">
                  <c:v>Customer Centric Approach</c:v>
                </c:pt>
              </c:strCache>
            </c:strRef>
          </c:tx>
          <c:spPr>
            <a:solidFill>
              <a:schemeClr val="accent1"/>
            </a:solidFill>
            <a:ln>
              <a:noFill/>
            </a:ln>
            <a:effectLst/>
            <a:sp3d/>
          </c:spPr>
          <c:invertIfNegative val="0"/>
          <c:cat>
            <c:strRef>
              <c:f>'Sheet 1'!$A$5:$A$12</c:f>
              <c:strCache>
                <c:ptCount val="8"/>
                <c:pt idx="0">
                  <c:v>Digital Marketing</c:v>
                </c:pt>
                <c:pt idx="1">
                  <c:v>EdTech Services</c:v>
                </c:pt>
                <c:pt idx="2">
                  <c:v>Fintech</c:v>
                </c:pt>
                <c:pt idx="3">
                  <c:v>Hardware Development</c:v>
                </c:pt>
                <c:pt idx="4">
                  <c:v>Manufacturing</c:v>
                </c:pt>
                <c:pt idx="5">
                  <c:v>Renewable Energy</c:v>
                </c:pt>
                <c:pt idx="6">
                  <c:v>saas, geospatial technology</c:v>
                </c:pt>
                <c:pt idx="7">
                  <c:v>Software Development</c:v>
                </c:pt>
              </c:strCache>
            </c:strRef>
          </c:cat>
          <c:val>
            <c:numRef>
              <c:f>'Sheet 1'!$B$5:$B$12</c:f>
              <c:numCache>
                <c:formatCode>0.00</c:formatCode>
                <c:ptCount val="8"/>
                <c:pt idx="0">
                  <c:v>4</c:v>
                </c:pt>
                <c:pt idx="3">
                  <c:v>3.6666666666666665</c:v>
                </c:pt>
                <c:pt idx="4">
                  <c:v>3.75</c:v>
                </c:pt>
                <c:pt idx="5">
                  <c:v>4</c:v>
                </c:pt>
                <c:pt idx="6">
                  <c:v>5</c:v>
                </c:pt>
                <c:pt idx="7">
                  <c:v>3.2727272727272729</c:v>
                </c:pt>
              </c:numCache>
            </c:numRef>
          </c:val>
          <c:extLst>
            <c:ext xmlns:c16="http://schemas.microsoft.com/office/drawing/2014/chart" uri="{C3380CC4-5D6E-409C-BE32-E72D297353CC}">
              <c16:uniqueId val="{00000000-5B6F-4A10-976F-A43040F2BD89}"/>
            </c:ext>
          </c:extLst>
        </c:ser>
        <c:ser>
          <c:idx val="1"/>
          <c:order val="1"/>
          <c:tx>
            <c:strRef>
              <c:f>'Sheet 1'!$C$3:$C$4</c:f>
              <c:strCache>
                <c:ptCount val="1"/>
                <c:pt idx="0">
                  <c:v>Design Thinking approach</c:v>
                </c:pt>
              </c:strCache>
            </c:strRef>
          </c:tx>
          <c:spPr>
            <a:solidFill>
              <a:schemeClr val="accent2"/>
            </a:solidFill>
            <a:ln>
              <a:noFill/>
            </a:ln>
            <a:effectLst/>
            <a:sp3d/>
          </c:spPr>
          <c:invertIfNegative val="0"/>
          <c:cat>
            <c:strRef>
              <c:f>'Sheet 1'!$A$5:$A$12</c:f>
              <c:strCache>
                <c:ptCount val="8"/>
                <c:pt idx="0">
                  <c:v>Digital Marketing</c:v>
                </c:pt>
                <c:pt idx="1">
                  <c:v>EdTech Services</c:v>
                </c:pt>
                <c:pt idx="2">
                  <c:v>Fintech</c:v>
                </c:pt>
                <c:pt idx="3">
                  <c:v>Hardware Development</c:v>
                </c:pt>
                <c:pt idx="4">
                  <c:v>Manufacturing</c:v>
                </c:pt>
                <c:pt idx="5">
                  <c:v>Renewable Energy</c:v>
                </c:pt>
                <c:pt idx="6">
                  <c:v>saas, geospatial technology</c:v>
                </c:pt>
                <c:pt idx="7">
                  <c:v>Software Development</c:v>
                </c:pt>
              </c:strCache>
            </c:strRef>
          </c:cat>
          <c:val>
            <c:numRef>
              <c:f>'Sheet 1'!$C$5:$C$12</c:f>
              <c:numCache>
                <c:formatCode>0.00</c:formatCode>
                <c:ptCount val="8"/>
                <c:pt idx="7">
                  <c:v>3</c:v>
                </c:pt>
              </c:numCache>
            </c:numRef>
          </c:val>
          <c:extLst>
            <c:ext xmlns:c16="http://schemas.microsoft.com/office/drawing/2014/chart" uri="{C3380CC4-5D6E-409C-BE32-E72D297353CC}">
              <c16:uniqueId val="{00000005-D3D0-41E9-9B6E-0D8D80C92B2C}"/>
            </c:ext>
          </c:extLst>
        </c:ser>
        <c:ser>
          <c:idx val="2"/>
          <c:order val="2"/>
          <c:tx>
            <c:strRef>
              <c:f>'Sheet 1'!$D$3:$D$4</c:f>
              <c:strCache>
                <c:ptCount val="1"/>
                <c:pt idx="0">
                  <c:v>Structured Management approach</c:v>
                </c:pt>
              </c:strCache>
            </c:strRef>
          </c:tx>
          <c:spPr>
            <a:solidFill>
              <a:schemeClr val="accent3"/>
            </a:solidFill>
            <a:ln>
              <a:noFill/>
            </a:ln>
            <a:effectLst/>
            <a:sp3d/>
          </c:spPr>
          <c:invertIfNegative val="0"/>
          <c:cat>
            <c:strRef>
              <c:f>'Sheet 1'!$A$5:$A$12</c:f>
              <c:strCache>
                <c:ptCount val="8"/>
                <c:pt idx="0">
                  <c:v>Digital Marketing</c:v>
                </c:pt>
                <c:pt idx="1">
                  <c:v>EdTech Services</c:v>
                </c:pt>
                <c:pt idx="2">
                  <c:v>Fintech</c:v>
                </c:pt>
                <c:pt idx="3">
                  <c:v>Hardware Development</c:v>
                </c:pt>
                <c:pt idx="4">
                  <c:v>Manufacturing</c:v>
                </c:pt>
                <c:pt idx="5">
                  <c:v>Renewable Energy</c:v>
                </c:pt>
                <c:pt idx="6">
                  <c:v>saas, geospatial technology</c:v>
                </c:pt>
                <c:pt idx="7">
                  <c:v>Software Development</c:v>
                </c:pt>
              </c:strCache>
            </c:strRef>
          </c:cat>
          <c:val>
            <c:numRef>
              <c:f>'Sheet 1'!$D$5:$D$12</c:f>
              <c:numCache>
                <c:formatCode>0.00</c:formatCode>
                <c:ptCount val="8"/>
                <c:pt idx="2">
                  <c:v>5</c:v>
                </c:pt>
                <c:pt idx="3">
                  <c:v>2</c:v>
                </c:pt>
                <c:pt idx="7">
                  <c:v>4</c:v>
                </c:pt>
              </c:numCache>
            </c:numRef>
          </c:val>
          <c:extLst>
            <c:ext xmlns:c16="http://schemas.microsoft.com/office/drawing/2014/chart" uri="{C3380CC4-5D6E-409C-BE32-E72D297353CC}">
              <c16:uniqueId val="{00000006-D3D0-41E9-9B6E-0D8D80C92B2C}"/>
            </c:ext>
          </c:extLst>
        </c:ser>
        <c:ser>
          <c:idx val="3"/>
          <c:order val="3"/>
          <c:tx>
            <c:strRef>
              <c:f>'Sheet 1'!$E$3:$E$4</c:f>
              <c:strCache>
                <c:ptCount val="1"/>
                <c:pt idx="0">
                  <c:v>Traditional sequential development</c:v>
                </c:pt>
              </c:strCache>
            </c:strRef>
          </c:tx>
          <c:spPr>
            <a:solidFill>
              <a:schemeClr val="accent4"/>
            </a:solidFill>
            <a:ln>
              <a:noFill/>
            </a:ln>
            <a:effectLst/>
            <a:sp3d/>
          </c:spPr>
          <c:invertIfNegative val="0"/>
          <c:cat>
            <c:strRef>
              <c:f>'Sheet 1'!$A$5:$A$12</c:f>
              <c:strCache>
                <c:ptCount val="8"/>
                <c:pt idx="0">
                  <c:v>Digital Marketing</c:v>
                </c:pt>
                <c:pt idx="1">
                  <c:v>EdTech Services</c:v>
                </c:pt>
                <c:pt idx="2">
                  <c:v>Fintech</c:v>
                </c:pt>
                <c:pt idx="3">
                  <c:v>Hardware Development</c:v>
                </c:pt>
                <c:pt idx="4">
                  <c:v>Manufacturing</c:v>
                </c:pt>
                <c:pt idx="5">
                  <c:v>Renewable Energy</c:v>
                </c:pt>
                <c:pt idx="6">
                  <c:v>saas, geospatial technology</c:v>
                </c:pt>
                <c:pt idx="7">
                  <c:v>Software Development</c:v>
                </c:pt>
              </c:strCache>
            </c:strRef>
          </c:cat>
          <c:val>
            <c:numRef>
              <c:f>'Sheet 1'!$E$5:$E$12</c:f>
              <c:numCache>
                <c:formatCode>0.00</c:formatCode>
                <c:ptCount val="8"/>
                <c:pt idx="1">
                  <c:v>5</c:v>
                </c:pt>
                <c:pt idx="3">
                  <c:v>3.5</c:v>
                </c:pt>
              </c:numCache>
            </c:numRef>
          </c:val>
          <c:extLst>
            <c:ext xmlns:c16="http://schemas.microsoft.com/office/drawing/2014/chart" uri="{C3380CC4-5D6E-409C-BE32-E72D297353CC}">
              <c16:uniqueId val="{00000007-D3D0-41E9-9B6E-0D8D80C92B2C}"/>
            </c:ext>
          </c:extLst>
        </c:ser>
        <c:dLbls>
          <c:showLegendKey val="0"/>
          <c:showVal val="0"/>
          <c:showCatName val="0"/>
          <c:showSerName val="0"/>
          <c:showPercent val="0"/>
          <c:showBubbleSize val="0"/>
        </c:dLbls>
        <c:gapWidth val="150"/>
        <c:shape val="box"/>
        <c:axId val="52314400"/>
        <c:axId val="52314880"/>
        <c:axId val="0"/>
      </c:bar3DChart>
      <c:catAx>
        <c:axId val="523144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baseline="0">
                    <a:solidFill>
                      <a:sysClr val="windowText" lastClr="000000">
                        <a:lumMod val="65000"/>
                        <a:lumOff val="35000"/>
                      </a:sysClr>
                    </a:solidFill>
                  </a:rPr>
                  <a:t>Technopreneurial venture</a:t>
                </a:r>
              </a:p>
            </c:rich>
          </c:tx>
          <c:layout>
            <c:manualLayout>
              <c:xMode val="edge"/>
              <c:yMode val="edge"/>
              <c:x val="0.26364294463961846"/>
              <c:y val="0.9112601833861676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14880"/>
        <c:crosses val="autoZero"/>
        <c:auto val="1"/>
        <c:lblAlgn val="ctr"/>
        <c:lblOffset val="100"/>
        <c:noMultiLvlLbl val="0"/>
      </c:catAx>
      <c:valAx>
        <c:axId val="52314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kern="1200" baseline="0">
                    <a:solidFill>
                      <a:sysClr val="windowText" lastClr="000000">
                        <a:lumMod val="65000"/>
                        <a:lumOff val="35000"/>
                      </a:sysClr>
                    </a:solidFill>
                  </a:rPr>
                  <a:t>Scale rate of product development success</a:t>
                </a:r>
              </a:p>
            </c:rich>
          </c:tx>
          <c:layout>
            <c:manualLayout>
              <c:xMode val="edge"/>
              <c:yMode val="edge"/>
              <c:x val="3.0465010511152996E-3"/>
              <c:y val="9.2748342375053472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314400"/>
        <c:crosses val="autoZero"/>
        <c:crossBetween val="between"/>
      </c:valAx>
      <c:spPr>
        <a:noFill/>
        <a:ln>
          <a:noFill/>
        </a:ln>
        <a:effectLst/>
      </c:spPr>
    </c:plotArea>
    <c:legend>
      <c:legendPos val="r"/>
      <c:layout>
        <c:manualLayout>
          <c:xMode val="edge"/>
          <c:yMode val="edge"/>
          <c:x val="0.68296219719408724"/>
          <c:y val="4.2206769608344394E-2"/>
          <c:w val="0.26063827400370648"/>
          <c:h val="0.251015915571398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 test.xlsx]Sheet 1!PivotTable2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1'!$B$21:$B$22</c:f>
              <c:strCache>
                <c:ptCount val="1"/>
                <c:pt idx="0">
                  <c:v>1-3 years</c:v>
                </c:pt>
              </c:strCache>
            </c:strRef>
          </c:tx>
          <c:spPr>
            <a:solidFill>
              <a:schemeClr val="accent1"/>
            </a:solidFill>
            <a:ln>
              <a:noFill/>
            </a:ln>
            <a:effectLst/>
          </c:spPr>
          <c:invertIfNegative val="0"/>
          <c:cat>
            <c:strRef>
              <c:f>'Sheet 1'!$A$23:$A$27</c:f>
              <c:strCache>
                <c:ptCount val="5"/>
                <c:pt idx="0">
                  <c:v>Annually</c:v>
                </c:pt>
                <c:pt idx="1">
                  <c:v>Monthly</c:v>
                </c:pt>
                <c:pt idx="2">
                  <c:v>Only when necessary (e.g., due to market changes or new products)</c:v>
                </c:pt>
                <c:pt idx="3">
                  <c:v>Only when necessary (e.g., due to market charges or new products)</c:v>
                </c:pt>
                <c:pt idx="4">
                  <c:v>Quarterly</c:v>
                </c:pt>
              </c:strCache>
            </c:strRef>
          </c:cat>
          <c:val>
            <c:numRef>
              <c:f>'Sheet 1'!$B$23:$B$27</c:f>
              <c:numCache>
                <c:formatCode>0.00</c:formatCode>
                <c:ptCount val="5"/>
                <c:pt idx="1">
                  <c:v>3.5</c:v>
                </c:pt>
                <c:pt idx="2">
                  <c:v>5</c:v>
                </c:pt>
                <c:pt idx="3">
                  <c:v>4</c:v>
                </c:pt>
                <c:pt idx="4">
                  <c:v>3.3333333333333335</c:v>
                </c:pt>
              </c:numCache>
            </c:numRef>
          </c:val>
          <c:extLst>
            <c:ext xmlns:c16="http://schemas.microsoft.com/office/drawing/2014/chart" uri="{C3380CC4-5D6E-409C-BE32-E72D297353CC}">
              <c16:uniqueId val="{00000000-4CE0-475C-A59C-A4AD958910F4}"/>
            </c:ext>
          </c:extLst>
        </c:ser>
        <c:ser>
          <c:idx val="1"/>
          <c:order val="1"/>
          <c:tx>
            <c:strRef>
              <c:f>'Sheet 1'!$C$21:$C$22</c:f>
              <c:strCache>
                <c:ptCount val="1"/>
                <c:pt idx="0">
                  <c:v>3-5 years</c:v>
                </c:pt>
              </c:strCache>
            </c:strRef>
          </c:tx>
          <c:spPr>
            <a:solidFill>
              <a:schemeClr val="accent2"/>
            </a:solidFill>
            <a:ln>
              <a:noFill/>
            </a:ln>
            <a:effectLst/>
          </c:spPr>
          <c:invertIfNegative val="0"/>
          <c:cat>
            <c:strRef>
              <c:f>'Sheet 1'!$A$23:$A$27</c:f>
              <c:strCache>
                <c:ptCount val="5"/>
                <c:pt idx="0">
                  <c:v>Annually</c:v>
                </c:pt>
                <c:pt idx="1">
                  <c:v>Monthly</c:v>
                </c:pt>
                <c:pt idx="2">
                  <c:v>Only when necessary (e.g., due to market changes or new products)</c:v>
                </c:pt>
                <c:pt idx="3">
                  <c:v>Only when necessary (e.g., due to market charges or new products)</c:v>
                </c:pt>
                <c:pt idx="4">
                  <c:v>Quarterly</c:v>
                </c:pt>
              </c:strCache>
            </c:strRef>
          </c:cat>
          <c:val>
            <c:numRef>
              <c:f>'Sheet 1'!$C$23:$C$27</c:f>
              <c:numCache>
                <c:formatCode>0.00</c:formatCode>
                <c:ptCount val="5"/>
                <c:pt idx="0">
                  <c:v>5</c:v>
                </c:pt>
                <c:pt idx="1">
                  <c:v>2</c:v>
                </c:pt>
                <c:pt idx="2">
                  <c:v>4.5</c:v>
                </c:pt>
                <c:pt idx="4">
                  <c:v>5</c:v>
                </c:pt>
              </c:numCache>
            </c:numRef>
          </c:val>
          <c:extLst>
            <c:ext xmlns:c16="http://schemas.microsoft.com/office/drawing/2014/chart" uri="{C3380CC4-5D6E-409C-BE32-E72D297353CC}">
              <c16:uniqueId val="{00000007-4BB7-46CF-BA46-DD20D4E62ECA}"/>
            </c:ext>
          </c:extLst>
        </c:ser>
        <c:ser>
          <c:idx val="2"/>
          <c:order val="2"/>
          <c:tx>
            <c:strRef>
              <c:f>'Sheet 1'!$D$21:$D$22</c:f>
              <c:strCache>
                <c:ptCount val="1"/>
                <c:pt idx="0">
                  <c:v>Less than 1 year</c:v>
                </c:pt>
              </c:strCache>
            </c:strRef>
          </c:tx>
          <c:spPr>
            <a:solidFill>
              <a:schemeClr val="accent3"/>
            </a:solidFill>
            <a:ln>
              <a:noFill/>
            </a:ln>
            <a:effectLst/>
          </c:spPr>
          <c:invertIfNegative val="0"/>
          <c:cat>
            <c:strRef>
              <c:f>'Sheet 1'!$A$23:$A$27</c:f>
              <c:strCache>
                <c:ptCount val="5"/>
                <c:pt idx="0">
                  <c:v>Annually</c:v>
                </c:pt>
                <c:pt idx="1">
                  <c:v>Monthly</c:v>
                </c:pt>
                <c:pt idx="2">
                  <c:v>Only when necessary (e.g., due to market changes or new products)</c:v>
                </c:pt>
                <c:pt idx="3">
                  <c:v>Only when necessary (e.g., due to market charges or new products)</c:v>
                </c:pt>
                <c:pt idx="4">
                  <c:v>Quarterly</c:v>
                </c:pt>
              </c:strCache>
            </c:strRef>
          </c:cat>
          <c:val>
            <c:numRef>
              <c:f>'Sheet 1'!$D$23:$D$27</c:f>
              <c:numCache>
                <c:formatCode>0.00</c:formatCode>
                <c:ptCount val="5"/>
                <c:pt idx="0">
                  <c:v>5</c:v>
                </c:pt>
                <c:pt idx="1">
                  <c:v>2</c:v>
                </c:pt>
                <c:pt idx="4">
                  <c:v>3</c:v>
                </c:pt>
              </c:numCache>
            </c:numRef>
          </c:val>
          <c:extLst>
            <c:ext xmlns:c16="http://schemas.microsoft.com/office/drawing/2014/chart" uri="{C3380CC4-5D6E-409C-BE32-E72D297353CC}">
              <c16:uniqueId val="{00000008-4BB7-46CF-BA46-DD20D4E62ECA}"/>
            </c:ext>
          </c:extLst>
        </c:ser>
        <c:ser>
          <c:idx val="3"/>
          <c:order val="3"/>
          <c:tx>
            <c:strRef>
              <c:f>'Sheet 1'!$E$21:$E$22</c:f>
              <c:strCache>
                <c:ptCount val="1"/>
                <c:pt idx="0">
                  <c:v>More than 5 years</c:v>
                </c:pt>
              </c:strCache>
            </c:strRef>
          </c:tx>
          <c:spPr>
            <a:solidFill>
              <a:schemeClr val="accent4"/>
            </a:solidFill>
            <a:ln>
              <a:noFill/>
            </a:ln>
            <a:effectLst/>
          </c:spPr>
          <c:invertIfNegative val="0"/>
          <c:cat>
            <c:strRef>
              <c:f>'Sheet 1'!$A$23:$A$27</c:f>
              <c:strCache>
                <c:ptCount val="5"/>
                <c:pt idx="0">
                  <c:v>Annually</c:v>
                </c:pt>
                <c:pt idx="1">
                  <c:v>Monthly</c:v>
                </c:pt>
                <c:pt idx="2">
                  <c:v>Only when necessary (e.g., due to market changes or new products)</c:v>
                </c:pt>
                <c:pt idx="3">
                  <c:v>Only when necessary (e.g., due to market charges or new products)</c:v>
                </c:pt>
                <c:pt idx="4">
                  <c:v>Quarterly</c:v>
                </c:pt>
              </c:strCache>
            </c:strRef>
          </c:cat>
          <c:val>
            <c:numRef>
              <c:f>'Sheet 1'!$E$23:$E$27</c:f>
              <c:numCache>
                <c:formatCode>0.00</c:formatCode>
                <c:ptCount val="5"/>
                <c:pt idx="0">
                  <c:v>5</c:v>
                </c:pt>
                <c:pt idx="1">
                  <c:v>3</c:v>
                </c:pt>
                <c:pt idx="2">
                  <c:v>3.6666666666666665</c:v>
                </c:pt>
                <c:pt idx="4">
                  <c:v>2.5</c:v>
                </c:pt>
              </c:numCache>
            </c:numRef>
          </c:val>
          <c:extLst>
            <c:ext xmlns:c16="http://schemas.microsoft.com/office/drawing/2014/chart" uri="{C3380CC4-5D6E-409C-BE32-E72D297353CC}">
              <c16:uniqueId val="{00000009-4BB7-46CF-BA46-DD20D4E62ECA}"/>
            </c:ext>
          </c:extLst>
        </c:ser>
        <c:dLbls>
          <c:showLegendKey val="0"/>
          <c:showVal val="0"/>
          <c:showCatName val="0"/>
          <c:showSerName val="0"/>
          <c:showPercent val="0"/>
          <c:showBubbleSize val="0"/>
        </c:dLbls>
        <c:gapWidth val="219"/>
        <c:overlap val="-27"/>
        <c:axId val="1999148000"/>
        <c:axId val="1999150880"/>
      </c:barChart>
      <c:catAx>
        <c:axId val="1999148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How frequently the pricing strategy is updated</a:t>
                </a:r>
              </a:p>
            </c:rich>
          </c:tx>
          <c:layout>
            <c:manualLayout>
              <c:xMode val="edge"/>
              <c:yMode val="edge"/>
              <c:x val="0.30101555153973253"/>
              <c:y val="0.9081351970113741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150880"/>
        <c:crosses val="autoZero"/>
        <c:auto val="1"/>
        <c:lblAlgn val="ctr"/>
        <c:lblOffset val="100"/>
        <c:noMultiLvlLbl val="0"/>
      </c:catAx>
      <c:valAx>
        <c:axId val="1999150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Scale rate of product development success</a:t>
                </a:r>
              </a:p>
            </c:rich>
          </c:tx>
          <c:layout>
            <c:manualLayout>
              <c:xMode val="edge"/>
              <c:yMode val="edge"/>
              <c:x val="8.9881838645538732E-3"/>
              <c:y val="1.6548460276528679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148000"/>
        <c:crosses val="autoZero"/>
        <c:crossBetween val="between"/>
      </c:valAx>
      <c:spPr>
        <a:noFill/>
        <a:ln>
          <a:noFill/>
        </a:ln>
        <a:effectLst/>
      </c:spPr>
    </c:plotArea>
    <c:legend>
      <c:legendPos val="r"/>
      <c:layout>
        <c:manualLayout>
          <c:xMode val="edge"/>
          <c:yMode val="edge"/>
          <c:x val="0.83655560904429282"/>
          <c:y val="3.3539298684071676E-2"/>
          <c:w val="0.148431298372693"/>
          <c:h val="0.325089818588067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 test.xlsx]Sheet 1!PivotTable5</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 1'!$B$36:$B$37</c:f>
              <c:strCache>
                <c:ptCount val="1"/>
                <c:pt idx="0">
                  <c:v>Diversification</c:v>
                </c:pt>
              </c:strCache>
            </c:strRef>
          </c:tx>
          <c:spPr>
            <a:solidFill>
              <a:schemeClr val="accent1"/>
            </a:solidFill>
            <a:ln>
              <a:noFill/>
            </a:ln>
            <a:effectLst/>
            <a:sp3d/>
          </c:spPr>
          <c:invertIfNegative val="0"/>
          <c:cat>
            <c:strRef>
              <c:f>'Sheet 1'!$A$38:$A$46</c:f>
              <c:strCache>
                <c:ptCount val="8"/>
                <c:pt idx="0">
                  <c:v>Digital Marketing</c:v>
                </c:pt>
                <c:pt idx="1">
                  <c:v>EdTech Services</c:v>
                </c:pt>
                <c:pt idx="2">
                  <c:v>Fintech</c:v>
                </c:pt>
                <c:pt idx="3">
                  <c:v>Hardware Development</c:v>
                </c:pt>
                <c:pt idx="4">
                  <c:v>Manufacturing</c:v>
                </c:pt>
                <c:pt idx="5">
                  <c:v>Renewable Energy</c:v>
                </c:pt>
                <c:pt idx="6">
                  <c:v>saas, geospatial technology</c:v>
                </c:pt>
                <c:pt idx="7">
                  <c:v>Software Development</c:v>
                </c:pt>
              </c:strCache>
            </c:strRef>
          </c:cat>
          <c:val>
            <c:numRef>
              <c:f>'Sheet 1'!$B$38:$B$46</c:f>
              <c:numCache>
                <c:formatCode>General</c:formatCode>
                <c:ptCount val="8"/>
                <c:pt idx="4">
                  <c:v>1</c:v>
                </c:pt>
                <c:pt idx="5">
                  <c:v>1</c:v>
                </c:pt>
                <c:pt idx="7">
                  <c:v>1</c:v>
                </c:pt>
              </c:numCache>
            </c:numRef>
          </c:val>
          <c:extLst>
            <c:ext xmlns:c16="http://schemas.microsoft.com/office/drawing/2014/chart" uri="{C3380CC4-5D6E-409C-BE32-E72D297353CC}">
              <c16:uniqueId val="{00000000-F40D-4619-845B-66C2D6F10FDE}"/>
            </c:ext>
          </c:extLst>
        </c:ser>
        <c:ser>
          <c:idx val="1"/>
          <c:order val="1"/>
          <c:tx>
            <c:strRef>
              <c:f>'Sheet 1'!$C$36:$C$37</c:f>
              <c:strCache>
                <c:ptCount val="1"/>
                <c:pt idx="0">
                  <c:v>Market Expansion</c:v>
                </c:pt>
              </c:strCache>
            </c:strRef>
          </c:tx>
          <c:spPr>
            <a:solidFill>
              <a:schemeClr val="accent2"/>
            </a:solidFill>
            <a:ln>
              <a:noFill/>
            </a:ln>
            <a:effectLst/>
            <a:sp3d/>
          </c:spPr>
          <c:invertIfNegative val="0"/>
          <c:cat>
            <c:strRef>
              <c:f>'Sheet 1'!$A$38:$A$46</c:f>
              <c:strCache>
                <c:ptCount val="8"/>
                <c:pt idx="0">
                  <c:v>Digital Marketing</c:v>
                </c:pt>
                <c:pt idx="1">
                  <c:v>EdTech Services</c:v>
                </c:pt>
                <c:pt idx="2">
                  <c:v>Fintech</c:v>
                </c:pt>
                <c:pt idx="3">
                  <c:v>Hardware Development</c:v>
                </c:pt>
                <c:pt idx="4">
                  <c:v>Manufacturing</c:v>
                </c:pt>
                <c:pt idx="5">
                  <c:v>Renewable Energy</c:v>
                </c:pt>
                <c:pt idx="6">
                  <c:v>saas, geospatial technology</c:v>
                </c:pt>
                <c:pt idx="7">
                  <c:v>Software Development</c:v>
                </c:pt>
              </c:strCache>
            </c:strRef>
          </c:cat>
          <c:val>
            <c:numRef>
              <c:f>'Sheet 1'!$C$38:$C$46</c:f>
              <c:numCache>
                <c:formatCode>General</c:formatCode>
                <c:ptCount val="8"/>
                <c:pt idx="0">
                  <c:v>1</c:v>
                </c:pt>
                <c:pt idx="3">
                  <c:v>1</c:v>
                </c:pt>
                <c:pt idx="4">
                  <c:v>1</c:v>
                </c:pt>
                <c:pt idx="6">
                  <c:v>1</c:v>
                </c:pt>
                <c:pt idx="7">
                  <c:v>1</c:v>
                </c:pt>
              </c:numCache>
            </c:numRef>
          </c:val>
          <c:extLst>
            <c:ext xmlns:c16="http://schemas.microsoft.com/office/drawing/2014/chart" uri="{C3380CC4-5D6E-409C-BE32-E72D297353CC}">
              <c16:uniqueId val="{00000001-F40D-4619-845B-66C2D6F10FDE}"/>
            </c:ext>
          </c:extLst>
        </c:ser>
        <c:ser>
          <c:idx val="2"/>
          <c:order val="2"/>
          <c:tx>
            <c:strRef>
              <c:f>'Sheet 1'!$D$36:$D$37</c:f>
              <c:strCache>
                <c:ptCount val="1"/>
                <c:pt idx="0">
                  <c:v>Product Improvement</c:v>
                </c:pt>
              </c:strCache>
            </c:strRef>
          </c:tx>
          <c:spPr>
            <a:solidFill>
              <a:schemeClr val="accent3"/>
            </a:solidFill>
            <a:ln>
              <a:noFill/>
            </a:ln>
            <a:effectLst/>
            <a:sp3d/>
          </c:spPr>
          <c:invertIfNegative val="0"/>
          <c:cat>
            <c:strRef>
              <c:f>'Sheet 1'!$A$38:$A$46</c:f>
              <c:strCache>
                <c:ptCount val="8"/>
                <c:pt idx="0">
                  <c:v>Digital Marketing</c:v>
                </c:pt>
                <c:pt idx="1">
                  <c:v>EdTech Services</c:v>
                </c:pt>
                <c:pt idx="2">
                  <c:v>Fintech</c:v>
                </c:pt>
                <c:pt idx="3">
                  <c:v>Hardware Development</c:v>
                </c:pt>
                <c:pt idx="4">
                  <c:v>Manufacturing</c:v>
                </c:pt>
                <c:pt idx="5">
                  <c:v>Renewable Energy</c:v>
                </c:pt>
                <c:pt idx="6">
                  <c:v>saas, geospatial technology</c:v>
                </c:pt>
                <c:pt idx="7">
                  <c:v>Software Development</c:v>
                </c:pt>
              </c:strCache>
            </c:strRef>
          </c:cat>
          <c:val>
            <c:numRef>
              <c:f>'Sheet 1'!$D$38:$D$46</c:f>
              <c:numCache>
                <c:formatCode>General</c:formatCode>
                <c:ptCount val="8"/>
                <c:pt idx="1">
                  <c:v>1</c:v>
                </c:pt>
                <c:pt idx="2">
                  <c:v>1</c:v>
                </c:pt>
                <c:pt idx="3">
                  <c:v>4</c:v>
                </c:pt>
                <c:pt idx="4">
                  <c:v>2</c:v>
                </c:pt>
                <c:pt idx="7">
                  <c:v>11</c:v>
                </c:pt>
              </c:numCache>
            </c:numRef>
          </c:val>
          <c:extLst>
            <c:ext xmlns:c16="http://schemas.microsoft.com/office/drawing/2014/chart" uri="{C3380CC4-5D6E-409C-BE32-E72D297353CC}">
              <c16:uniqueId val="{0000000B-31C2-4319-97B9-F0E61BB500B6}"/>
            </c:ext>
          </c:extLst>
        </c:ser>
        <c:ser>
          <c:idx val="3"/>
          <c:order val="3"/>
          <c:tx>
            <c:strRef>
              <c:f>'Sheet 1'!$E$36:$E$37</c:f>
              <c:strCache>
                <c:ptCount val="1"/>
                <c:pt idx="0">
                  <c:v>Product line extension</c:v>
                </c:pt>
              </c:strCache>
            </c:strRef>
          </c:tx>
          <c:spPr>
            <a:solidFill>
              <a:schemeClr val="accent4"/>
            </a:solidFill>
            <a:ln>
              <a:noFill/>
            </a:ln>
            <a:effectLst/>
            <a:sp3d/>
          </c:spPr>
          <c:invertIfNegative val="0"/>
          <c:cat>
            <c:strRef>
              <c:f>'Sheet 1'!$A$38:$A$46</c:f>
              <c:strCache>
                <c:ptCount val="8"/>
                <c:pt idx="0">
                  <c:v>Digital Marketing</c:v>
                </c:pt>
                <c:pt idx="1">
                  <c:v>EdTech Services</c:v>
                </c:pt>
                <c:pt idx="2">
                  <c:v>Fintech</c:v>
                </c:pt>
                <c:pt idx="3">
                  <c:v>Hardware Development</c:v>
                </c:pt>
                <c:pt idx="4">
                  <c:v>Manufacturing</c:v>
                </c:pt>
                <c:pt idx="5">
                  <c:v>Renewable Energy</c:v>
                </c:pt>
                <c:pt idx="6">
                  <c:v>saas, geospatial technology</c:v>
                </c:pt>
                <c:pt idx="7">
                  <c:v>Software Development</c:v>
                </c:pt>
              </c:strCache>
            </c:strRef>
          </c:cat>
          <c:val>
            <c:numRef>
              <c:f>'Sheet 1'!$E$38:$E$46</c:f>
              <c:numCache>
                <c:formatCode>General</c:formatCode>
                <c:ptCount val="8"/>
                <c:pt idx="3">
                  <c:v>1</c:v>
                </c:pt>
                <c:pt idx="7">
                  <c:v>2</c:v>
                </c:pt>
              </c:numCache>
            </c:numRef>
          </c:val>
          <c:extLst>
            <c:ext xmlns:c16="http://schemas.microsoft.com/office/drawing/2014/chart" uri="{C3380CC4-5D6E-409C-BE32-E72D297353CC}">
              <c16:uniqueId val="{0000000C-31C2-4319-97B9-F0E61BB500B6}"/>
            </c:ext>
          </c:extLst>
        </c:ser>
        <c:dLbls>
          <c:showLegendKey val="0"/>
          <c:showVal val="0"/>
          <c:showCatName val="0"/>
          <c:showSerName val="0"/>
          <c:showPercent val="0"/>
          <c:showBubbleSize val="0"/>
        </c:dLbls>
        <c:gapWidth val="150"/>
        <c:shape val="box"/>
        <c:axId val="2000509712"/>
        <c:axId val="2000509232"/>
        <c:axId val="0"/>
      </c:bar3DChart>
      <c:catAx>
        <c:axId val="2000509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Technopreneurial venture</a:t>
                </a:r>
              </a:p>
            </c:rich>
          </c:tx>
          <c:layout>
            <c:manualLayout>
              <c:xMode val="edge"/>
              <c:yMode val="edge"/>
              <c:x val="0.33769885697023827"/>
              <c:y val="0.892474252572252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509232"/>
        <c:crosses val="autoZero"/>
        <c:auto val="1"/>
        <c:lblAlgn val="ctr"/>
        <c:lblOffset val="100"/>
        <c:noMultiLvlLbl val="0"/>
      </c:catAx>
      <c:valAx>
        <c:axId val="2000509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How</a:t>
                </a:r>
                <a:r>
                  <a:rPr lang="en-IN" b="1" baseline="0"/>
                  <a:t> frequently product updated</a:t>
                </a:r>
                <a:endParaRPr lang="en-IN" b="1"/>
              </a:p>
            </c:rich>
          </c:tx>
          <c:layout>
            <c:manualLayout>
              <c:xMode val="edge"/>
              <c:yMode val="edge"/>
              <c:x val="1.7768395181589486E-2"/>
              <c:y val="8.2598946589561795E-2"/>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509712"/>
        <c:crosses val="autoZero"/>
        <c:crossBetween val="between"/>
      </c:valAx>
      <c:spPr>
        <a:noFill/>
        <a:ln>
          <a:noFill/>
        </a:ln>
        <a:effectLst/>
      </c:spPr>
    </c:plotArea>
    <c:legend>
      <c:legendPos val="r"/>
      <c:layout>
        <c:manualLayout>
          <c:xMode val="edge"/>
          <c:yMode val="edge"/>
          <c:x val="0.76671709411295996"/>
          <c:y val="5.4358301752498235E-2"/>
          <c:w val="0.18114007205534532"/>
          <c:h val="0.252528135811906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 test.xlsx]Sheet 1!PivotTable6</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 1'!$B$57:$B$58</c:f>
              <c:strCache>
                <c:ptCount val="1"/>
                <c:pt idx="0">
                  <c:v>Female</c:v>
                </c:pt>
              </c:strCache>
            </c:strRef>
          </c:tx>
          <c:spPr>
            <a:solidFill>
              <a:schemeClr val="accent1"/>
            </a:solidFill>
            <a:ln>
              <a:noFill/>
            </a:ln>
            <a:effectLst/>
            <a:sp3d/>
          </c:spPr>
          <c:invertIfNegative val="0"/>
          <c:cat>
            <c:strRef>
              <c:f>'Sheet 1'!$A$59:$A$67</c:f>
              <c:strCache>
                <c:ptCount val="8"/>
                <c:pt idx="0">
                  <c:v>18 - 24</c:v>
                </c:pt>
                <c:pt idx="1">
                  <c:v>25 - 34</c:v>
                </c:pt>
                <c:pt idx="2">
                  <c:v>25-34</c:v>
                </c:pt>
                <c:pt idx="3">
                  <c:v>35 - 44</c:v>
                </c:pt>
                <c:pt idx="4">
                  <c:v>35-44</c:v>
                </c:pt>
                <c:pt idx="5">
                  <c:v>45 - 54</c:v>
                </c:pt>
                <c:pt idx="6">
                  <c:v>45-54</c:v>
                </c:pt>
                <c:pt idx="7">
                  <c:v>55+</c:v>
                </c:pt>
              </c:strCache>
            </c:strRef>
          </c:cat>
          <c:val>
            <c:numRef>
              <c:f>'Sheet 1'!$B$59:$B$67</c:f>
              <c:numCache>
                <c:formatCode>General</c:formatCode>
                <c:ptCount val="8"/>
                <c:pt idx="1">
                  <c:v>3</c:v>
                </c:pt>
                <c:pt idx="2">
                  <c:v>3</c:v>
                </c:pt>
                <c:pt idx="4">
                  <c:v>5</c:v>
                </c:pt>
                <c:pt idx="6">
                  <c:v>1</c:v>
                </c:pt>
                <c:pt idx="7">
                  <c:v>2</c:v>
                </c:pt>
              </c:numCache>
            </c:numRef>
          </c:val>
          <c:extLst>
            <c:ext xmlns:c16="http://schemas.microsoft.com/office/drawing/2014/chart" uri="{C3380CC4-5D6E-409C-BE32-E72D297353CC}">
              <c16:uniqueId val="{00000000-8884-4F74-AD81-63527E008B01}"/>
            </c:ext>
          </c:extLst>
        </c:ser>
        <c:ser>
          <c:idx val="1"/>
          <c:order val="1"/>
          <c:tx>
            <c:strRef>
              <c:f>'Sheet 1'!$C$57:$C$58</c:f>
              <c:strCache>
                <c:ptCount val="1"/>
                <c:pt idx="0">
                  <c:v>Male</c:v>
                </c:pt>
              </c:strCache>
            </c:strRef>
          </c:tx>
          <c:spPr>
            <a:solidFill>
              <a:schemeClr val="accent2"/>
            </a:solidFill>
            <a:ln>
              <a:noFill/>
            </a:ln>
            <a:effectLst/>
            <a:sp3d/>
          </c:spPr>
          <c:invertIfNegative val="0"/>
          <c:cat>
            <c:strRef>
              <c:f>'Sheet 1'!$A$59:$A$67</c:f>
              <c:strCache>
                <c:ptCount val="8"/>
                <c:pt idx="0">
                  <c:v>18 - 24</c:v>
                </c:pt>
                <c:pt idx="1">
                  <c:v>25 - 34</c:v>
                </c:pt>
                <c:pt idx="2">
                  <c:v>25-34</c:v>
                </c:pt>
                <c:pt idx="3">
                  <c:v>35 - 44</c:v>
                </c:pt>
                <c:pt idx="4">
                  <c:v>35-44</c:v>
                </c:pt>
                <c:pt idx="5">
                  <c:v>45 - 54</c:v>
                </c:pt>
                <c:pt idx="6">
                  <c:v>45-54</c:v>
                </c:pt>
                <c:pt idx="7">
                  <c:v>55+</c:v>
                </c:pt>
              </c:strCache>
            </c:strRef>
          </c:cat>
          <c:val>
            <c:numRef>
              <c:f>'Sheet 1'!$C$59:$C$67</c:f>
              <c:numCache>
                <c:formatCode>General</c:formatCode>
                <c:ptCount val="8"/>
                <c:pt idx="0">
                  <c:v>5</c:v>
                </c:pt>
                <c:pt idx="1">
                  <c:v>3</c:v>
                </c:pt>
                <c:pt idx="2">
                  <c:v>10</c:v>
                </c:pt>
                <c:pt idx="3">
                  <c:v>3</c:v>
                </c:pt>
                <c:pt idx="4">
                  <c:v>8</c:v>
                </c:pt>
                <c:pt idx="5">
                  <c:v>4</c:v>
                </c:pt>
                <c:pt idx="6">
                  <c:v>1</c:v>
                </c:pt>
                <c:pt idx="7">
                  <c:v>26</c:v>
                </c:pt>
              </c:numCache>
            </c:numRef>
          </c:val>
          <c:extLst>
            <c:ext xmlns:c16="http://schemas.microsoft.com/office/drawing/2014/chart" uri="{C3380CC4-5D6E-409C-BE32-E72D297353CC}">
              <c16:uniqueId val="{00000006-ECFF-46AE-8EDB-AECB11CFF251}"/>
            </c:ext>
          </c:extLst>
        </c:ser>
        <c:dLbls>
          <c:showLegendKey val="0"/>
          <c:showVal val="0"/>
          <c:showCatName val="0"/>
          <c:showSerName val="0"/>
          <c:showPercent val="0"/>
          <c:showBubbleSize val="0"/>
        </c:dLbls>
        <c:gapWidth val="150"/>
        <c:shape val="box"/>
        <c:axId val="71345440"/>
        <c:axId val="71343040"/>
        <c:axId val="2006663424"/>
      </c:bar3DChart>
      <c:catAx>
        <c:axId val="71345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Age (years)</a:t>
                </a:r>
              </a:p>
            </c:rich>
          </c:tx>
          <c:layout>
            <c:manualLayout>
              <c:xMode val="edge"/>
              <c:yMode val="edge"/>
              <c:x val="0.3878986504885375"/>
              <c:y val="0.8961324979751298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43040"/>
        <c:crosses val="autoZero"/>
        <c:auto val="1"/>
        <c:lblAlgn val="ctr"/>
        <c:lblOffset val="100"/>
        <c:noMultiLvlLbl val="0"/>
      </c:catAx>
      <c:valAx>
        <c:axId val="713430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sample</a:t>
                </a:r>
                <a:r>
                  <a:rPr lang="en-IN" b="1" baseline="0"/>
                  <a:t> response count</a:t>
                </a:r>
                <a:endParaRPr lang="en-IN" b="1"/>
              </a:p>
            </c:rich>
          </c:tx>
          <c:layout>
            <c:manualLayout>
              <c:xMode val="edge"/>
              <c:yMode val="edge"/>
              <c:x val="2.2347831521059871E-2"/>
              <c:y val="0.2464502282420517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45440"/>
        <c:crosses val="autoZero"/>
        <c:crossBetween val="between"/>
      </c:valAx>
      <c:serAx>
        <c:axId val="200666342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343040"/>
        <c:crosses val="autoZero"/>
      </c:serAx>
      <c:spPr>
        <a:noFill/>
        <a:ln>
          <a:noFill/>
        </a:ln>
        <a:effectLst/>
      </c:spPr>
    </c:plotArea>
    <c:legend>
      <c:legendPos val="r"/>
      <c:layout>
        <c:manualLayout>
          <c:xMode val="edge"/>
          <c:yMode val="edge"/>
          <c:x val="0.8160142482189725"/>
          <c:y val="5.1189777583589731E-2"/>
          <c:w val="8.6756243057872495E-2"/>
          <c:h val="0.122650941511970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 test.xlsx]Sheet 1!PivotTable29</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1'!$B$82</c:f>
              <c:strCache>
                <c:ptCount val="1"/>
                <c:pt idx="0">
                  <c:v>Total</c:v>
                </c:pt>
              </c:strCache>
            </c:strRef>
          </c:tx>
          <c:spPr>
            <a:solidFill>
              <a:schemeClr val="accent1"/>
            </a:solidFill>
            <a:ln>
              <a:noFill/>
            </a:ln>
            <a:effectLst/>
          </c:spPr>
          <c:invertIfNegative val="0"/>
          <c:cat>
            <c:strRef>
              <c:f>'Sheet 1'!$A$83:$A$87</c:f>
              <c:strCache>
                <c:ptCount val="4"/>
                <c:pt idx="0">
                  <c:v>No, but we plan to in the future</c:v>
                </c:pt>
                <c:pt idx="1">
                  <c:v>No, we do not currently employ data analytics</c:v>
                </c:pt>
                <c:pt idx="2">
                  <c:v>Yes, consistently</c:v>
                </c:pt>
                <c:pt idx="3">
                  <c:v>Yes, occasionally</c:v>
                </c:pt>
              </c:strCache>
            </c:strRef>
          </c:cat>
          <c:val>
            <c:numRef>
              <c:f>'Sheet 1'!$B$83:$B$87</c:f>
              <c:numCache>
                <c:formatCode>General</c:formatCode>
                <c:ptCount val="4"/>
                <c:pt idx="0">
                  <c:v>8</c:v>
                </c:pt>
                <c:pt idx="1">
                  <c:v>4</c:v>
                </c:pt>
                <c:pt idx="2">
                  <c:v>8</c:v>
                </c:pt>
                <c:pt idx="3">
                  <c:v>10</c:v>
                </c:pt>
              </c:numCache>
            </c:numRef>
          </c:val>
          <c:extLst>
            <c:ext xmlns:c16="http://schemas.microsoft.com/office/drawing/2014/chart" uri="{C3380CC4-5D6E-409C-BE32-E72D297353CC}">
              <c16:uniqueId val="{00000000-10EA-456B-BF0C-C503371323EC}"/>
            </c:ext>
          </c:extLst>
        </c:ser>
        <c:dLbls>
          <c:showLegendKey val="0"/>
          <c:showVal val="0"/>
          <c:showCatName val="0"/>
          <c:showSerName val="0"/>
          <c:showPercent val="0"/>
          <c:showBubbleSize val="0"/>
        </c:dLbls>
        <c:gapWidth val="150"/>
        <c:axId val="211401120"/>
        <c:axId val="211396320"/>
      </c:barChart>
      <c:catAx>
        <c:axId val="211401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Attribute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11396320"/>
        <c:crosses val="autoZero"/>
        <c:auto val="1"/>
        <c:lblAlgn val="ctr"/>
        <c:lblOffset val="100"/>
        <c:noMultiLvlLbl val="0"/>
      </c:catAx>
      <c:valAx>
        <c:axId val="2113963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0"/>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0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tx>
            <c:strRef>
              <c:f>'Sheet 2'!$B$14</c:f>
              <c:strCache>
                <c:ptCount val="1"/>
                <c:pt idx="0">
                  <c:v>Average rating</c:v>
                </c:pt>
              </c:strCache>
            </c:strRef>
          </c:tx>
          <c:spPr>
            <a:solidFill>
              <a:schemeClr val="accent1"/>
            </a:solidFill>
            <a:ln>
              <a:noFill/>
            </a:ln>
            <a:effectLst/>
          </c:spPr>
          <c:invertIfNegative val="0"/>
          <c:cat>
            <c:strRef>
              <c:f>'Sheet 2'!$A$15:$A$48</c:f>
              <c:strCache>
                <c:ptCount val="34"/>
                <c:pt idx="0">
                  <c:v>Market Research</c:v>
                </c:pt>
                <c:pt idx="1">
                  <c:v>Customer Feedback</c:v>
                </c:pt>
                <c:pt idx="2">
                  <c:v>Latest Technologies</c:v>
                </c:pt>
                <c:pt idx="3">
                  <c:v>Industry Expert</c:v>
                </c:pt>
                <c:pt idx="4">
                  <c:v>Pricing Strategy</c:v>
                </c:pt>
                <c:pt idx="5">
                  <c:v>Levels of pricing</c:v>
                </c:pt>
                <c:pt idx="6">
                  <c:v>Monitor Competitor pricing</c:v>
                </c:pt>
                <c:pt idx="7">
                  <c:v>Intense Competition</c:v>
                </c:pt>
                <c:pt idx="8">
                  <c:v>High Production Cost hurdle</c:v>
                </c:pt>
                <c:pt idx="9">
                  <c:v>Manage pricing across different market difficult</c:v>
                </c:pt>
                <c:pt idx="10">
                  <c:v>Use Of software to monitor competitor prices</c:v>
                </c:pt>
                <c:pt idx="11">
                  <c:v>Automation tools help manage dynamic pricing</c:v>
                </c:pt>
                <c:pt idx="12">
                  <c:v>Strong brand identity</c:v>
                </c:pt>
                <c:pt idx="13">
                  <c:v>Calrity on Target customers</c:v>
                </c:pt>
                <c:pt idx="14">
                  <c:v>Proposition Communication</c:v>
                </c:pt>
                <c:pt idx="15">
                  <c:v>Digital marketing</c:v>
                </c:pt>
                <c:pt idx="16">
                  <c:v>Budget allocation &amp; Resource efficiency</c:v>
                </c:pt>
                <c:pt idx="17">
                  <c:v>Importance of wide reach in distribution strategy</c:v>
                </c:pt>
                <c:pt idx="18">
                  <c:v>Digital platform in distribution strategy</c:v>
                </c:pt>
                <c:pt idx="19">
                  <c:v>Nature of Product</c:v>
                </c:pt>
                <c:pt idx="20">
                  <c:v>Nature of Market</c:v>
                </c:pt>
                <c:pt idx="21">
                  <c:v>Buying habits of customer</c:v>
                </c:pt>
                <c:pt idx="22">
                  <c:v>Competition</c:v>
                </c:pt>
                <c:pt idx="23">
                  <c:v>Government regulations</c:v>
                </c:pt>
                <c:pt idx="24">
                  <c:v>Limited Marketing Budget</c:v>
                </c:pt>
                <c:pt idx="25">
                  <c:v>Lack of in-house marketing expertise</c:v>
                </c:pt>
                <c:pt idx="26">
                  <c:v>Difficult to identify target audience</c:v>
                </c:pt>
                <c:pt idx="27">
                  <c:v>Competition within tech industry</c:v>
                </c:pt>
                <c:pt idx="28">
                  <c:v>Dynamic digital market landscape/algorithms</c:v>
                </c:pt>
                <c:pt idx="29">
                  <c:v>Measure ROI effectively</c:v>
                </c:pt>
                <c:pt idx="30">
                  <c:v>Built brand awareness and recognition</c:v>
                </c:pt>
                <c:pt idx="31">
                  <c:v>Customer acquisition and retention</c:v>
                </c:pt>
                <c:pt idx="32">
                  <c:v>Data Privacy and Compliance concerns</c:v>
                </c:pt>
                <c:pt idx="33">
                  <c:v>Resistance to adoption of new technology by target market</c:v>
                </c:pt>
              </c:strCache>
            </c:strRef>
          </c:cat>
          <c:val>
            <c:numRef>
              <c:f>'Sheet 2'!$B$15:$B$48</c:f>
              <c:numCache>
                <c:formatCode>General</c:formatCode>
                <c:ptCount val="34"/>
                <c:pt idx="0">
                  <c:v>3.5333333333333332</c:v>
                </c:pt>
                <c:pt idx="1">
                  <c:v>3.6</c:v>
                </c:pt>
                <c:pt idx="2">
                  <c:v>3.7666666666666666</c:v>
                </c:pt>
                <c:pt idx="3">
                  <c:v>4.1333333333333337</c:v>
                </c:pt>
                <c:pt idx="4">
                  <c:v>4.7666666666666666</c:v>
                </c:pt>
                <c:pt idx="5">
                  <c:v>4.833333333333333</c:v>
                </c:pt>
                <c:pt idx="6">
                  <c:v>4.5666666666666664</c:v>
                </c:pt>
                <c:pt idx="7">
                  <c:v>4.5999999999999996</c:v>
                </c:pt>
                <c:pt idx="8">
                  <c:v>4.4000000000000004</c:v>
                </c:pt>
                <c:pt idx="9">
                  <c:v>4.4666666666666668</c:v>
                </c:pt>
                <c:pt idx="10">
                  <c:v>3.9666666666666668</c:v>
                </c:pt>
                <c:pt idx="11">
                  <c:v>4.2</c:v>
                </c:pt>
                <c:pt idx="12">
                  <c:v>3.8666666666666667</c:v>
                </c:pt>
                <c:pt idx="13">
                  <c:v>3.6666666666666665</c:v>
                </c:pt>
                <c:pt idx="14">
                  <c:v>3.8</c:v>
                </c:pt>
                <c:pt idx="15">
                  <c:v>3.4333333333333331</c:v>
                </c:pt>
                <c:pt idx="16">
                  <c:v>3.4666666666666668</c:v>
                </c:pt>
                <c:pt idx="17">
                  <c:v>3.8333333333333335</c:v>
                </c:pt>
                <c:pt idx="18">
                  <c:v>3.5</c:v>
                </c:pt>
                <c:pt idx="19">
                  <c:v>3.7333333333333334</c:v>
                </c:pt>
                <c:pt idx="20">
                  <c:v>3.5666666666666669</c:v>
                </c:pt>
                <c:pt idx="21">
                  <c:v>3.4</c:v>
                </c:pt>
                <c:pt idx="22">
                  <c:v>3.6333333333333333</c:v>
                </c:pt>
                <c:pt idx="23">
                  <c:v>3.5</c:v>
                </c:pt>
                <c:pt idx="24">
                  <c:v>2.4666666666666668</c:v>
                </c:pt>
                <c:pt idx="25">
                  <c:v>2.5</c:v>
                </c:pt>
                <c:pt idx="26">
                  <c:v>2.4333333333333331</c:v>
                </c:pt>
                <c:pt idx="27">
                  <c:v>2.2333333333333334</c:v>
                </c:pt>
                <c:pt idx="28">
                  <c:v>2.3666666666666667</c:v>
                </c:pt>
                <c:pt idx="29">
                  <c:v>2.0333333333333332</c:v>
                </c:pt>
                <c:pt idx="30">
                  <c:v>2.2666666666666666</c:v>
                </c:pt>
                <c:pt idx="31">
                  <c:v>2.1666666666666665</c:v>
                </c:pt>
                <c:pt idx="32">
                  <c:v>2.3333333333333335</c:v>
                </c:pt>
                <c:pt idx="33">
                  <c:v>2.4333333333333331</c:v>
                </c:pt>
              </c:numCache>
            </c:numRef>
          </c:val>
          <c:extLst>
            <c:ext xmlns:c16="http://schemas.microsoft.com/office/drawing/2014/chart" uri="{C3380CC4-5D6E-409C-BE32-E72D297353CC}">
              <c16:uniqueId val="{00000000-8DA8-4AF1-B735-25DFD095427C}"/>
            </c:ext>
          </c:extLst>
        </c:ser>
        <c:dLbls>
          <c:showLegendKey val="0"/>
          <c:showVal val="0"/>
          <c:showCatName val="0"/>
          <c:showSerName val="0"/>
          <c:showPercent val="0"/>
          <c:showBubbleSize val="0"/>
        </c:dLbls>
        <c:gapWidth val="150"/>
        <c:overlap val="100"/>
        <c:axId val="75935808"/>
        <c:axId val="75936288"/>
      </c:barChart>
      <c:catAx>
        <c:axId val="75935808"/>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baseline="0"/>
                  <a:t>Criteria</a:t>
                </a:r>
              </a:p>
            </c:rich>
          </c:tx>
          <c:layout>
            <c:manualLayout>
              <c:xMode val="edge"/>
              <c:yMode val="edge"/>
              <c:x val="2.6803118908382065E-2"/>
              <c:y val="0.44849879935220865"/>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60" b="0" i="0" u="none" strike="noStrike" kern="1200" baseline="0">
                <a:solidFill>
                  <a:schemeClr val="tx1">
                    <a:lumMod val="65000"/>
                    <a:lumOff val="35000"/>
                  </a:schemeClr>
                </a:solidFill>
                <a:latin typeface="+mn-lt"/>
                <a:ea typeface="+mn-ea"/>
                <a:cs typeface="+mn-cs"/>
              </a:defRPr>
            </a:pPr>
            <a:endParaRPr lang="en-US"/>
          </a:p>
        </c:txPr>
        <c:crossAx val="75936288"/>
        <c:crosses val="autoZero"/>
        <c:auto val="1"/>
        <c:lblAlgn val="ctr"/>
        <c:lblOffset val="100"/>
        <c:noMultiLvlLbl val="0"/>
      </c:catAx>
      <c:valAx>
        <c:axId val="7593628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baseline="0"/>
                  <a:t>Average rating</a:t>
                </a:r>
              </a:p>
            </c:rich>
          </c:tx>
          <c:layout>
            <c:manualLayout>
              <c:xMode val="edge"/>
              <c:yMode val="edge"/>
              <c:x val="0.52588746836048283"/>
              <c:y val="0.9502267836185661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60" b="0" i="0" u="none" strike="noStrike" kern="1200" baseline="0">
                <a:solidFill>
                  <a:schemeClr val="tx1">
                    <a:lumMod val="65000"/>
                    <a:lumOff val="35000"/>
                  </a:schemeClr>
                </a:solidFill>
                <a:latin typeface="+mn-lt"/>
                <a:ea typeface="+mn-ea"/>
                <a:cs typeface="+mn-cs"/>
              </a:defRPr>
            </a:pPr>
            <a:endParaRPr lang="en-US"/>
          </a:p>
        </c:txPr>
        <c:crossAx val="7593580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760" baseline="0"/>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 test.xlsx]Sheet 2!PivotTable7</c:name>
    <c:fmtId val="3"/>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 2'!$B$2</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117-49C3-BFBE-7EDB4579331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117-49C3-BFBE-7EDB4579331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117-49C3-BFBE-7EDB4579331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117-49C3-BFBE-7EDB4579331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117-49C3-BFBE-7EDB4579331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117-49C3-BFBE-7EDB45793310}"/>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6117-49C3-BFBE-7EDB45793310}"/>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6117-49C3-BFBE-7EDB45793310}"/>
              </c:ext>
            </c:extLst>
          </c:dPt>
          <c:cat>
            <c:strRef>
              <c:f>'Sheet 2'!$A$3:$A$11</c:f>
              <c:strCache>
                <c:ptCount val="8"/>
                <c:pt idx="0">
                  <c:v>Digital Marketing</c:v>
                </c:pt>
                <c:pt idx="1">
                  <c:v>EdTech Services</c:v>
                </c:pt>
                <c:pt idx="2">
                  <c:v>Fintech</c:v>
                </c:pt>
                <c:pt idx="3">
                  <c:v>Hardware Development</c:v>
                </c:pt>
                <c:pt idx="4">
                  <c:v>Manufacturing</c:v>
                </c:pt>
                <c:pt idx="5">
                  <c:v>Renewable Energy</c:v>
                </c:pt>
                <c:pt idx="6">
                  <c:v>saas, geospatial technology</c:v>
                </c:pt>
                <c:pt idx="7">
                  <c:v>Software Development</c:v>
                </c:pt>
              </c:strCache>
            </c:strRef>
          </c:cat>
          <c:val>
            <c:numRef>
              <c:f>'Sheet 2'!$B$3:$B$11</c:f>
              <c:numCache>
                <c:formatCode>General</c:formatCode>
                <c:ptCount val="8"/>
                <c:pt idx="0">
                  <c:v>1</c:v>
                </c:pt>
                <c:pt idx="1">
                  <c:v>1</c:v>
                </c:pt>
                <c:pt idx="2">
                  <c:v>1</c:v>
                </c:pt>
                <c:pt idx="3">
                  <c:v>6</c:v>
                </c:pt>
                <c:pt idx="4">
                  <c:v>4</c:v>
                </c:pt>
                <c:pt idx="5">
                  <c:v>1</c:v>
                </c:pt>
                <c:pt idx="6">
                  <c:v>1</c:v>
                </c:pt>
                <c:pt idx="7">
                  <c:v>15</c:v>
                </c:pt>
              </c:numCache>
            </c:numRef>
          </c:val>
          <c:extLst>
            <c:ext xmlns:c16="http://schemas.microsoft.com/office/drawing/2014/chart" uri="{C3380CC4-5D6E-409C-BE32-E72D297353CC}">
              <c16:uniqueId val="{00000000-C7C4-4063-97D7-AE0B7018FE7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 test.xlsx]Sheet 2!PivotTable4</c:name>
    <c:fmtId val="4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2'!$B$54:$B$55</c:f>
              <c:strCache>
                <c:ptCount val="1"/>
                <c:pt idx="0">
                  <c:v>Female</c:v>
                </c:pt>
              </c:strCache>
            </c:strRef>
          </c:tx>
          <c:spPr>
            <a:solidFill>
              <a:schemeClr val="accent1"/>
            </a:solidFill>
            <a:ln>
              <a:noFill/>
            </a:ln>
            <a:effectLst/>
          </c:spPr>
          <c:invertIfNegative val="0"/>
          <c:cat>
            <c:strRef>
              <c:f>'Sheet 2'!$A$56:$A$60</c:f>
              <c:strCache>
                <c:ptCount val="4"/>
                <c:pt idx="0">
                  <c:v>Associate's Degree/Diploma</c:v>
                </c:pt>
                <c:pt idx="1">
                  <c:v>Bachelor's Degree</c:v>
                </c:pt>
                <c:pt idx="2">
                  <c:v>High School/Secondary Education</c:v>
                </c:pt>
                <c:pt idx="3">
                  <c:v>Master's Degree</c:v>
                </c:pt>
              </c:strCache>
            </c:strRef>
          </c:cat>
          <c:val>
            <c:numRef>
              <c:f>'Sheet 2'!$B$56:$B$60</c:f>
              <c:numCache>
                <c:formatCode>General</c:formatCode>
                <c:ptCount val="4"/>
                <c:pt idx="0">
                  <c:v>1</c:v>
                </c:pt>
                <c:pt idx="1">
                  <c:v>2</c:v>
                </c:pt>
                <c:pt idx="2">
                  <c:v>1</c:v>
                </c:pt>
                <c:pt idx="3">
                  <c:v>2</c:v>
                </c:pt>
              </c:numCache>
            </c:numRef>
          </c:val>
          <c:extLst>
            <c:ext xmlns:c16="http://schemas.microsoft.com/office/drawing/2014/chart" uri="{C3380CC4-5D6E-409C-BE32-E72D297353CC}">
              <c16:uniqueId val="{00000000-DD87-4B3A-B079-E170D525AF2B}"/>
            </c:ext>
          </c:extLst>
        </c:ser>
        <c:ser>
          <c:idx val="1"/>
          <c:order val="1"/>
          <c:tx>
            <c:strRef>
              <c:f>'Sheet 2'!$C$54:$C$55</c:f>
              <c:strCache>
                <c:ptCount val="1"/>
                <c:pt idx="0">
                  <c:v>Male</c:v>
                </c:pt>
              </c:strCache>
            </c:strRef>
          </c:tx>
          <c:spPr>
            <a:solidFill>
              <a:schemeClr val="accent2"/>
            </a:solidFill>
            <a:ln>
              <a:noFill/>
            </a:ln>
            <a:effectLst/>
          </c:spPr>
          <c:invertIfNegative val="0"/>
          <c:cat>
            <c:strRef>
              <c:f>'Sheet 2'!$A$56:$A$60</c:f>
              <c:strCache>
                <c:ptCount val="4"/>
                <c:pt idx="0">
                  <c:v>Associate's Degree/Diploma</c:v>
                </c:pt>
                <c:pt idx="1">
                  <c:v>Bachelor's Degree</c:v>
                </c:pt>
                <c:pt idx="2">
                  <c:v>High School/Secondary Education</c:v>
                </c:pt>
                <c:pt idx="3">
                  <c:v>Master's Degree</c:v>
                </c:pt>
              </c:strCache>
            </c:strRef>
          </c:cat>
          <c:val>
            <c:numRef>
              <c:f>'Sheet 2'!$C$56:$C$60</c:f>
              <c:numCache>
                <c:formatCode>General</c:formatCode>
                <c:ptCount val="4"/>
                <c:pt idx="0">
                  <c:v>3</c:v>
                </c:pt>
                <c:pt idx="1">
                  <c:v>15</c:v>
                </c:pt>
                <c:pt idx="3">
                  <c:v>6</c:v>
                </c:pt>
              </c:numCache>
            </c:numRef>
          </c:val>
          <c:extLst>
            <c:ext xmlns:c16="http://schemas.microsoft.com/office/drawing/2014/chart" uri="{C3380CC4-5D6E-409C-BE32-E72D297353CC}">
              <c16:uniqueId val="{00000007-911E-4D52-82CF-967D7DFEB91E}"/>
            </c:ext>
          </c:extLst>
        </c:ser>
        <c:dLbls>
          <c:showLegendKey val="0"/>
          <c:showVal val="0"/>
          <c:showCatName val="0"/>
          <c:showSerName val="0"/>
          <c:showPercent val="0"/>
          <c:showBubbleSize val="0"/>
        </c:dLbls>
        <c:gapWidth val="219"/>
        <c:overlap val="-27"/>
        <c:axId val="1608064368"/>
        <c:axId val="1608041328"/>
      </c:barChart>
      <c:catAx>
        <c:axId val="1608064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highest level of education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041328"/>
        <c:crosses val="autoZero"/>
        <c:auto val="1"/>
        <c:lblAlgn val="ctr"/>
        <c:lblOffset val="100"/>
        <c:noMultiLvlLbl val="0"/>
      </c:catAx>
      <c:valAx>
        <c:axId val="1608041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count of gender</a:t>
                </a:r>
              </a:p>
            </c:rich>
          </c:tx>
          <c:layout>
            <c:manualLayout>
              <c:xMode val="edge"/>
              <c:yMode val="edge"/>
              <c:x val="1.9444444444444445E-2"/>
              <c:y val="0.2609179060950714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806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xdr:col>
      <xdr:colOff>11776</xdr:colOff>
      <xdr:row>0</xdr:row>
      <xdr:rowOff>332509</xdr:rowOff>
    </xdr:from>
    <xdr:to>
      <xdr:col>17</xdr:col>
      <xdr:colOff>263236</xdr:colOff>
      <xdr:row>13</xdr:row>
      <xdr:rowOff>13855</xdr:rowOff>
    </xdr:to>
    <xdr:graphicFrame macro="">
      <xdr:nvGraphicFramePr>
        <xdr:cNvPr id="2" name="Chart 1">
          <a:extLst>
            <a:ext uri="{FF2B5EF4-FFF2-40B4-BE49-F238E27FC236}">
              <a16:creationId xmlns:a16="http://schemas.microsoft.com/office/drawing/2014/main" id="{98039F78-A215-A9C6-E062-4748B284B3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955963</xdr:colOff>
      <xdr:row>16</xdr:row>
      <xdr:rowOff>0</xdr:rowOff>
    </xdr:from>
    <xdr:to>
      <xdr:col>17</xdr:col>
      <xdr:colOff>263235</xdr:colOff>
      <xdr:row>29</xdr:row>
      <xdr:rowOff>96982</xdr:rowOff>
    </xdr:to>
    <xdr:graphicFrame macro="">
      <xdr:nvGraphicFramePr>
        <xdr:cNvPr id="3" name="Chart 2">
          <a:extLst>
            <a:ext uri="{FF2B5EF4-FFF2-40B4-BE49-F238E27FC236}">
              <a16:creationId xmlns:a16="http://schemas.microsoft.com/office/drawing/2014/main" id="{B4EC319B-1AE6-70B0-C64F-04B5B31A10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138840</xdr:colOff>
      <xdr:row>33</xdr:row>
      <xdr:rowOff>85105</xdr:rowOff>
    </xdr:from>
    <xdr:to>
      <xdr:col>17</xdr:col>
      <xdr:colOff>160316</xdr:colOff>
      <xdr:row>50</xdr:row>
      <xdr:rowOff>32657</xdr:rowOff>
    </xdr:to>
    <xdr:graphicFrame macro="">
      <xdr:nvGraphicFramePr>
        <xdr:cNvPr id="4" name="Chart 3">
          <a:extLst>
            <a:ext uri="{FF2B5EF4-FFF2-40B4-BE49-F238E27FC236}">
              <a16:creationId xmlns:a16="http://schemas.microsoft.com/office/drawing/2014/main" id="{80336DC1-A17D-1815-1168-D01EF81F34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163287</xdr:colOff>
      <xdr:row>54</xdr:row>
      <xdr:rowOff>370115</xdr:rowOff>
    </xdr:from>
    <xdr:to>
      <xdr:col>12</xdr:col>
      <xdr:colOff>368137</xdr:colOff>
      <xdr:row>68</xdr:row>
      <xdr:rowOff>142504</xdr:rowOff>
    </xdr:to>
    <xdr:graphicFrame macro="">
      <xdr:nvGraphicFramePr>
        <xdr:cNvPr id="5" name="Chart 4">
          <a:extLst>
            <a:ext uri="{FF2B5EF4-FFF2-40B4-BE49-F238E27FC236}">
              <a16:creationId xmlns:a16="http://schemas.microsoft.com/office/drawing/2014/main" id="{4F3AC6FC-DA00-12D8-D198-4859E80785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123799</xdr:colOff>
      <xdr:row>55</xdr:row>
      <xdr:rowOff>62642</xdr:rowOff>
    </xdr:from>
    <xdr:to>
      <xdr:col>16</xdr:col>
      <xdr:colOff>123799</xdr:colOff>
      <xdr:row>66</xdr:row>
      <xdr:rowOff>75383</xdr:rowOff>
    </xdr:to>
    <mc:AlternateContent xmlns:mc="http://schemas.openxmlformats.org/markup-compatibility/2006" xmlns:a14="http://schemas.microsoft.com/office/drawing/2010/main">
      <mc:Choice Requires="a14">
        <xdr:graphicFrame macro="">
          <xdr:nvGraphicFramePr>
            <xdr:cNvPr id="7" name="4. What is the primary industry of your technopreneurial venture?">
              <a:extLst>
                <a:ext uri="{FF2B5EF4-FFF2-40B4-BE49-F238E27FC236}">
                  <a16:creationId xmlns:a16="http://schemas.microsoft.com/office/drawing/2014/main" id="{66E4390B-0CC2-06AF-3065-DBED4C0E8434}"/>
                </a:ext>
              </a:extLst>
            </xdr:cNvPr>
            <xdr:cNvGraphicFramePr/>
          </xdr:nvGraphicFramePr>
          <xdr:xfrm>
            <a:off x="0" y="0"/>
            <a:ext cx="0" cy="0"/>
          </xdr:xfrm>
          <a:graphic>
            <a:graphicData uri="http://schemas.microsoft.com/office/drawing/2010/slicer">
              <sle:slicer xmlns:sle="http://schemas.microsoft.com/office/drawing/2010/slicer" name="4. What is the primary industry of your technopreneurial venture?"/>
            </a:graphicData>
          </a:graphic>
        </xdr:graphicFrame>
      </mc:Choice>
      <mc:Fallback xmlns="">
        <xdr:sp macro="" textlink="">
          <xdr:nvSpPr>
            <xdr:cNvPr id="0" name=""/>
            <xdr:cNvSpPr>
              <a:spLocks noTextEdit="1"/>
            </xdr:cNvSpPr>
          </xdr:nvSpPr>
          <xdr:spPr>
            <a:xfrm>
              <a:off x="14765085" y="12733613"/>
              <a:ext cx="1828800" cy="3398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xdr:colOff>
      <xdr:row>80</xdr:row>
      <xdr:rowOff>110836</xdr:rowOff>
    </xdr:from>
    <xdr:to>
      <xdr:col>13</xdr:col>
      <xdr:colOff>235527</xdr:colOff>
      <xdr:row>104</xdr:row>
      <xdr:rowOff>83128</xdr:rowOff>
    </xdr:to>
    <xdr:graphicFrame macro="">
      <xdr:nvGraphicFramePr>
        <xdr:cNvPr id="21" name="Chart 20">
          <a:extLst>
            <a:ext uri="{FF2B5EF4-FFF2-40B4-BE49-F238E27FC236}">
              <a16:creationId xmlns:a16="http://schemas.microsoft.com/office/drawing/2014/main" id="{A59BE4D8-6D61-B97D-9329-7BFBFF6186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562194</xdr:colOff>
      <xdr:row>84</xdr:row>
      <xdr:rowOff>110517</xdr:rowOff>
    </xdr:from>
    <xdr:to>
      <xdr:col>16</xdr:col>
      <xdr:colOff>552694</xdr:colOff>
      <xdr:row>101</xdr:row>
      <xdr:rowOff>14950</xdr:rowOff>
    </xdr:to>
    <mc:AlternateContent xmlns:mc="http://schemas.openxmlformats.org/markup-compatibility/2006" xmlns:a14="http://schemas.microsoft.com/office/drawing/2010/main">
      <mc:Choice Requires="a14">
        <xdr:graphicFrame macro="">
          <xdr:nvGraphicFramePr>
            <xdr:cNvPr id="22" name="Attribute">
              <a:extLst>
                <a:ext uri="{FF2B5EF4-FFF2-40B4-BE49-F238E27FC236}">
                  <a16:creationId xmlns:a16="http://schemas.microsoft.com/office/drawing/2014/main" id="{55332ED2-411E-3B4B-FAEB-C907F69EAFAB}"/>
                </a:ext>
              </a:extLst>
            </xdr:cNvPr>
            <xdr:cNvGraphicFramePr/>
          </xdr:nvGraphicFramePr>
          <xdr:xfrm>
            <a:off x="0" y="0"/>
            <a:ext cx="0" cy="0"/>
          </xdr:xfrm>
          <a:graphic>
            <a:graphicData uri="http://schemas.microsoft.com/office/drawing/2010/slicer">
              <sle:slicer xmlns:sle="http://schemas.microsoft.com/office/drawing/2010/slicer" name="Attribute"/>
            </a:graphicData>
          </a:graphic>
        </xdr:graphicFrame>
      </mc:Choice>
      <mc:Fallback xmlns="">
        <xdr:sp macro="" textlink="">
          <xdr:nvSpPr>
            <xdr:cNvPr id="0" name=""/>
            <xdr:cNvSpPr>
              <a:spLocks noTextEdit="1"/>
            </xdr:cNvSpPr>
          </xdr:nvSpPr>
          <xdr:spPr>
            <a:xfrm>
              <a:off x="13467813" y="18253374"/>
              <a:ext cx="1804786" cy="31532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351157</xdr:colOff>
      <xdr:row>84</xdr:row>
      <xdr:rowOff>132135</xdr:rowOff>
    </xdr:from>
    <xdr:to>
      <xdr:col>20</xdr:col>
      <xdr:colOff>1560681</xdr:colOff>
      <xdr:row>101</xdr:row>
      <xdr:rowOff>32655</xdr:rowOff>
    </xdr:to>
    <mc:AlternateContent xmlns:mc="http://schemas.openxmlformats.org/markup-compatibility/2006" xmlns:a14="http://schemas.microsoft.com/office/drawing/2010/main">
      <mc:Choice Requires="a14">
        <xdr:graphicFrame macro="">
          <xdr:nvGraphicFramePr>
            <xdr:cNvPr id="23" name="4. What is the primary industry of your technopreneurial venture? 1">
              <a:extLst>
                <a:ext uri="{FF2B5EF4-FFF2-40B4-BE49-F238E27FC236}">
                  <a16:creationId xmlns:a16="http://schemas.microsoft.com/office/drawing/2014/main" id="{05409C95-0AA0-6A9B-675B-165B1B096F5F}"/>
                </a:ext>
              </a:extLst>
            </xdr:cNvPr>
            <xdr:cNvGraphicFramePr/>
          </xdr:nvGraphicFramePr>
          <xdr:xfrm>
            <a:off x="0" y="0"/>
            <a:ext cx="0" cy="0"/>
          </xdr:xfrm>
          <a:graphic>
            <a:graphicData uri="http://schemas.microsoft.com/office/drawing/2010/slicer">
              <sle:slicer xmlns:sle="http://schemas.microsoft.com/office/drawing/2010/slicer" name="4. What is the primary industry of your technopreneurial venture? 1"/>
            </a:graphicData>
          </a:graphic>
        </xdr:graphicFrame>
      </mc:Choice>
      <mc:Fallback xmlns="">
        <xdr:sp macro="" textlink="">
          <xdr:nvSpPr>
            <xdr:cNvPr id="0" name=""/>
            <xdr:cNvSpPr>
              <a:spLocks noTextEdit="1"/>
            </xdr:cNvSpPr>
          </xdr:nvSpPr>
          <xdr:spPr>
            <a:xfrm>
              <a:off x="18264205" y="18274992"/>
              <a:ext cx="1814286" cy="3150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555568</xdr:colOff>
      <xdr:row>2</xdr:row>
      <xdr:rowOff>219595</xdr:rowOff>
    </xdr:from>
    <xdr:to>
      <xdr:col>18</xdr:col>
      <xdr:colOff>403168</xdr:colOff>
      <xdr:row>8</xdr:row>
      <xdr:rowOff>169990</xdr:rowOff>
    </xdr:to>
    <mc:AlternateContent xmlns:mc="http://schemas.openxmlformats.org/markup-compatibility/2006" xmlns:a14="http://schemas.microsoft.com/office/drawing/2010/main">
      <mc:Choice Requires="a14">
        <xdr:graphicFrame macro="">
          <xdr:nvGraphicFramePr>
            <xdr:cNvPr id="6" name="How long has your technopreneurial venture been in operation?">
              <a:extLst>
                <a:ext uri="{FF2B5EF4-FFF2-40B4-BE49-F238E27FC236}">
                  <a16:creationId xmlns:a16="http://schemas.microsoft.com/office/drawing/2014/main" id="{92E2A143-29FE-0289-04C0-553C2F735FFB}"/>
                </a:ext>
              </a:extLst>
            </xdr:cNvPr>
            <xdr:cNvGraphicFramePr/>
          </xdr:nvGraphicFramePr>
          <xdr:xfrm>
            <a:off x="0" y="0"/>
            <a:ext cx="0" cy="0"/>
          </xdr:xfrm>
          <a:graphic>
            <a:graphicData uri="http://schemas.microsoft.com/office/drawing/2010/slicer">
              <sle:slicer xmlns:sle="http://schemas.microsoft.com/office/drawing/2010/slicer" name="How long has your technopreneurial venture been in operation?"/>
            </a:graphicData>
          </a:graphic>
        </xdr:graphicFrame>
      </mc:Choice>
      <mc:Fallback xmlns="">
        <xdr:sp macro="" textlink="">
          <xdr:nvSpPr>
            <xdr:cNvPr id="0" name=""/>
            <xdr:cNvSpPr>
              <a:spLocks noTextEdit="1"/>
            </xdr:cNvSpPr>
          </xdr:nvSpPr>
          <xdr:spPr>
            <a:xfrm>
              <a:off x="17635254" y="774766"/>
              <a:ext cx="1828800" cy="2490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583275</xdr:colOff>
      <xdr:row>18</xdr:row>
      <xdr:rowOff>178030</xdr:rowOff>
    </xdr:from>
    <xdr:to>
      <xdr:col>18</xdr:col>
      <xdr:colOff>430875</xdr:colOff>
      <xdr:row>28</xdr:row>
      <xdr:rowOff>18579</xdr:rowOff>
    </xdr:to>
    <mc:AlternateContent xmlns:mc="http://schemas.openxmlformats.org/markup-compatibility/2006" xmlns:a14="http://schemas.microsoft.com/office/drawing/2010/main">
      <mc:Choice Requires="a14">
        <xdr:graphicFrame macro="">
          <xdr:nvGraphicFramePr>
            <xdr:cNvPr id="8" name="What is the primary industry of your technopreneurial venture?">
              <a:extLst>
                <a:ext uri="{FF2B5EF4-FFF2-40B4-BE49-F238E27FC236}">
                  <a16:creationId xmlns:a16="http://schemas.microsoft.com/office/drawing/2014/main" id="{DDB0468E-8362-22CF-5361-641FD29A569D}"/>
                </a:ext>
              </a:extLst>
            </xdr:cNvPr>
            <xdr:cNvGraphicFramePr/>
          </xdr:nvGraphicFramePr>
          <xdr:xfrm>
            <a:off x="0" y="0"/>
            <a:ext cx="0" cy="0"/>
          </xdr:xfrm>
          <a:graphic>
            <a:graphicData uri="http://schemas.microsoft.com/office/drawing/2010/slicer">
              <sle:slicer xmlns:sle="http://schemas.microsoft.com/office/drawing/2010/slicer" name="What is the primary industry of your technopreneurial venture?"/>
            </a:graphicData>
          </a:graphic>
        </xdr:graphicFrame>
      </mc:Choice>
      <mc:Fallback xmlns="">
        <xdr:sp macro="" textlink="">
          <xdr:nvSpPr>
            <xdr:cNvPr id="0" name=""/>
            <xdr:cNvSpPr>
              <a:spLocks noTextEdit="1"/>
            </xdr:cNvSpPr>
          </xdr:nvSpPr>
          <xdr:spPr>
            <a:xfrm>
              <a:off x="17662961" y="4314601"/>
              <a:ext cx="1828800" cy="25035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452846</xdr:colOff>
      <xdr:row>35</xdr:row>
      <xdr:rowOff>271055</xdr:rowOff>
    </xdr:from>
    <xdr:to>
      <xdr:col>18</xdr:col>
      <xdr:colOff>298269</xdr:colOff>
      <xdr:row>46</xdr:row>
      <xdr:rowOff>46884</xdr:rowOff>
    </xdr:to>
    <mc:AlternateContent xmlns:mc="http://schemas.openxmlformats.org/markup-compatibility/2006" xmlns:a14="http://schemas.microsoft.com/office/drawing/2010/main">
      <mc:Choice Requires="a14">
        <xdr:graphicFrame macro="">
          <xdr:nvGraphicFramePr>
            <xdr:cNvPr id="9" name="4. How frequently is the product upgraded technologically?">
              <a:extLst>
                <a:ext uri="{FF2B5EF4-FFF2-40B4-BE49-F238E27FC236}">
                  <a16:creationId xmlns:a16="http://schemas.microsoft.com/office/drawing/2014/main" id="{A4E265DB-C981-1B23-AE47-C98B4C114C10}"/>
                </a:ext>
              </a:extLst>
            </xdr:cNvPr>
            <xdr:cNvGraphicFramePr/>
          </xdr:nvGraphicFramePr>
          <xdr:xfrm>
            <a:off x="0" y="0"/>
            <a:ext cx="0" cy="0"/>
          </xdr:xfrm>
          <a:graphic>
            <a:graphicData uri="http://schemas.microsoft.com/office/drawing/2010/slicer">
              <sle:slicer xmlns:sle="http://schemas.microsoft.com/office/drawing/2010/slicer" name="4. How frequently is the product upgraded technologically?"/>
            </a:graphicData>
          </a:graphic>
        </xdr:graphicFrame>
      </mc:Choice>
      <mc:Fallback xmlns="">
        <xdr:sp macro="" textlink="">
          <xdr:nvSpPr>
            <xdr:cNvPr id="0" name=""/>
            <xdr:cNvSpPr>
              <a:spLocks noTextEdit="1"/>
            </xdr:cNvSpPr>
          </xdr:nvSpPr>
          <xdr:spPr>
            <a:xfrm>
              <a:off x="17532532" y="8696598"/>
              <a:ext cx="1826623" cy="24887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120831</xdr:colOff>
      <xdr:row>67</xdr:row>
      <xdr:rowOff>149134</xdr:rowOff>
    </xdr:from>
    <xdr:to>
      <xdr:col>16</xdr:col>
      <xdr:colOff>120831</xdr:colOff>
      <xdr:row>76</xdr:row>
      <xdr:rowOff>105468</xdr:rowOff>
    </xdr:to>
    <mc:AlternateContent xmlns:mc="http://schemas.openxmlformats.org/markup-compatibility/2006" xmlns:a14="http://schemas.microsoft.com/office/drawing/2010/main">
      <mc:Choice Requires="a14">
        <xdr:graphicFrame macro="">
          <xdr:nvGraphicFramePr>
            <xdr:cNvPr id="10" name="What is your highest level of education?">
              <a:extLst>
                <a:ext uri="{FF2B5EF4-FFF2-40B4-BE49-F238E27FC236}">
                  <a16:creationId xmlns:a16="http://schemas.microsoft.com/office/drawing/2014/main" id="{C669B182-5D3C-B0A4-6176-3EC4DAF8D469}"/>
                </a:ext>
              </a:extLst>
            </xdr:cNvPr>
            <xdr:cNvGraphicFramePr/>
          </xdr:nvGraphicFramePr>
          <xdr:xfrm>
            <a:off x="0" y="0"/>
            <a:ext cx="0" cy="0"/>
          </xdr:xfrm>
          <a:graphic>
            <a:graphicData uri="http://schemas.microsoft.com/office/drawing/2010/slicer">
              <sle:slicer xmlns:sle="http://schemas.microsoft.com/office/drawing/2010/slicer" name="What is your highest level of education?"/>
            </a:graphicData>
          </a:graphic>
        </xdr:graphicFrame>
      </mc:Choice>
      <mc:Fallback xmlns="">
        <xdr:sp macro="" textlink="">
          <xdr:nvSpPr>
            <xdr:cNvPr id="0" name=""/>
            <xdr:cNvSpPr>
              <a:spLocks noTextEdit="1"/>
            </xdr:cNvSpPr>
          </xdr:nvSpPr>
          <xdr:spPr>
            <a:xfrm>
              <a:off x="13026450" y="15026277"/>
              <a:ext cx="1814286" cy="20642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15240</xdr:colOff>
      <xdr:row>13</xdr:row>
      <xdr:rowOff>95250</xdr:rowOff>
    </xdr:from>
    <xdr:to>
      <xdr:col>5</xdr:col>
      <xdr:colOff>1173480</xdr:colOff>
      <xdr:row>35</xdr:row>
      <xdr:rowOff>99060</xdr:rowOff>
    </xdr:to>
    <xdr:graphicFrame macro="">
      <xdr:nvGraphicFramePr>
        <xdr:cNvPr id="7" name="Chart 6">
          <a:extLst>
            <a:ext uri="{FF2B5EF4-FFF2-40B4-BE49-F238E27FC236}">
              <a16:creationId xmlns:a16="http://schemas.microsoft.com/office/drawing/2014/main" id="{5B47E6ED-B26A-C94F-BA50-0400D328FA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0</xdr:row>
      <xdr:rowOff>95250</xdr:rowOff>
    </xdr:from>
    <xdr:to>
      <xdr:col>4</xdr:col>
      <xdr:colOff>3429000</xdr:colOff>
      <xdr:row>10</xdr:row>
      <xdr:rowOff>144780</xdr:rowOff>
    </xdr:to>
    <xdr:graphicFrame macro="">
      <xdr:nvGraphicFramePr>
        <xdr:cNvPr id="8" name="Chart 7">
          <a:extLst>
            <a:ext uri="{FF2B5EF4-FFF2-40B4-BE49-F238E27FC236}">
              <a16:creationId xmlns:a16="http://schemas.microsoft.com/office/drawing/2014/main" id="{9DC2971E-F740-7774-5D1D-48593D7B87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446315</xdr:colOff>
      <xdr:row>48</xdr:row>
      <xdr:rowOff>108858</xdr:rowOff>
    </xdr:from>
    <xdr:to>
      <xdr:col>5</xdr:col>
      <xdr:colOff>1665514</xdr:colOff>
      <xdr:row>65</xdr:row>
      <xdr:rowOff>0</xdr:rowOff>
    </xdr:to>
    <xdr:graphicFrame macro="">
      <xdr:nvGraphicFramePr>
        <xdr:cNvPr id="4" name="Chart 3">
          <a:extLst>
            <a:ext uri="{FF2B5EF4-FFF2-40B4-BE49-F238E27FC236}">
              <a16:creationId xmlns:a16="http://schemas.microsoft.com/office/drawing/2014/main" id="{CFC706BB-20A9-54B1-BDD4-249F6C9898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2053045</xdr:colOff>
      <xdr:row>49</xdr:row>
      <xdr:rowOff>78377</xdr:rowOff>
    </xdr:from>
    <xdr:to>
      <xdr:col>5</xdr:col>
      <xdr:colOff>3881845</xdr:colOff>
      <xdr:row>60</xdr:row>
      <xdr:rowOff>128724</xdr:rowOff>
    </xdr:to>
    <mc:AlternateContent xmlns:mc="http://schemas.openxmlformats.org/markup-compatibility/2006" xmlns:a14="http://schemas.microsoft.com/office/drawing/2010/main">
      <mc:Choice Requires="a14">
        <xdr:graphicFrame macro="">
          <xdr:nvGraphicFramePr>
            <xdr:cNvPr id="5" name="4. What is the primary industry of your technopreneurial venture? 2">
              <a:extLst>
                <a:ext uri="{FF2B5EF4-FFF2-40B4-BE49-F238E27FC236}">
                  <a16:creationId xmlns:a16="http://schemas.microsoft.com/office/drawing/2014/main" id="{D7AC694B-396E-22DC-4F7C-D169B742A957}"/>
                </a:ext>
              </a:extLst>
            </xdr:cNvPr>
            <xdr:cNvGraphicFramePr/>
          </xdr:nvGraphicFramePr>
          <xdr:xfrm>
            <a:off x="0" y="0"/>
            <a:ext cx="0" cy="0"/>
          </xdr:xfrm>
          <a:graphic>
            <a:graphicData uri="http://schemas.microsoft.com/office/drawing/2010/slicer">
              <sle:slicer xmlns:sle="http://schemas.microsoft.com/office/drawing/2010/slicer" name="4. What is the primary industry of your technopreneurial venture? 2"/>
            </a:graphicData>
          </a:graphic>
        </xdr:graphicFrame>
      </mc:Choice>
      <mc:Fallback xmlns="">
        <xdr:sp macro="" textlink="">
          <xdr:nvSpPr>
            <xdr:cNvPr id="0" name=""/>
            <xdr:cNvSpPr>
              <a:spLocks noTextEdit="1"/>
            </xdr:cNvSpPr>
          </xdr:nvSpPr>
          <xdr:spPr>
            <a:xfrm>
              <a:off x="10554788" y="11987348"/>
              <a:ext cx="1828800" cy="2466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300446</xdr:colOff>
      <xdr:row>49</xdr:row>
      <xdr:rowOff>112121</xdr:rowOff>
    </xdr:from>
    <xdr:to>
      <xdr:col>8</xdr:col>
      <xdr:colOff>899160</xdr:colOff>
      <xdr:row>60</xdr:row>
      <xdr:rowOff>162468</xdr:rowOff>
    </xdr:to>
    <mc:AlternateContent xmlns:mc="http://schemas.openxmlformats.org/markup-compatibility/2006" xmlns:a14="http://schemas.microsoft.com/office/drawing/2010/main">
      <mc:Choice Requires="a14">
        <xdr:graphicFrame macro="">
          <xdr:nvGraphicFramePr>
            <xdr:cNvPr id="6" name="5. How long has your technopreneurial venture been in operation?">
              <a:extLst>
                <a:ext uri="{FF2B5EF4-FFF2-40B4-BE49-F238E27FC236}">
                  <a16:creationId xmlns:a16="http://schemas.microsoft.com/office/drawing/2014/main" id="{441E2E2C-7EB1-9316-9C1C-F6DF883C3E77}"/>
                </a:ext>
              </a:extLst>
            </xdr:cNvPr>
            <xdr:cNvGraphicFramePr/>
          </xdr:nvGraphicFramePr>
          <xdr:xfrm>
            <a:off x="0" y="0"/>
            <a:ext cx="0" cy="0"/>
          </xdr:xfrm>
          <a:graphic>
            <a:graphicData uri="http://schemas.microsoft.com/office/drawing/2010/slicer">
              <sle:slicer xmlns:sle="http://schemas.microsoft.com/office/drawing/2010/slicer" name="5. How long has your technopreneurial venture been in operation?"/>
            </a:graphicData>
          </a:graphic>
        </xdr:graphicFrame>
      </mc:Choice>
      <mc:Fallback xmlns="">
        <xdr:sp macro="" textlink="">
          <xdr:nvSpPr>
            <xdr:cNvPr id="0" name=""/>
            <xdr:cNvSpPr>
              <a:spLocks noTextEdit="1"/>
            </xdr:cNvSpPr>
          </xdr:nvSpPr>
          <xdr:spPr>
            <a:xfrm>
              <a:off x="14811103" y="12021092"/>
              <a:ext cx="1828800" cy="2466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o Gonsalves" refreshedDate="46169.438834490742" createdVersion="8" refreshedVersion="8" minRefreshableVersion="3" recordCount="30" xr:uid="{611DEAF2-9EAE-41ED-BAF7-8B3DABB31326}">
  <cacheSource type="worksheet">
    <worksheetSource name="Table1"/>
  </cacheSource>
  <cacheFields count="54">
    <cacheField name="Sr. no." numFmtId="0">
      <sharedItems containsSemiMixedTypes="0" containsString="0" containsNumber="1" containsInteger="1" minValue="1" maxValue="30"/>
    </cacheField>
    <cacheField name="1. Age (years)" numFmtId="0">
      <sharedItems count="8">
        <s v="35-44"/>
        <s v="25-34"/>
        <s v="55+"/>
        <s v="45-54"/>
        <s v="35 - 44"/>
        <s v="25 - 34"/>
        <s v="18 - 24"/>
        <s v="45 - 54"/>
      </sharedItems>
    </cacheField>
    <cacheField name="2. Gender" numFmtId="0">
      <sharedItems count="2">
        <s v="Male"/>
        <s v="Female"/>
      </sharedItems>
    </cacheField>
    <cacheField name="3. What is your highest level of education?" numFmtId="0">
      <sharedItems count="4">
        <s v="Master's Degree"/>
        <s v="Bachelor's Degree"/>
        <s v="High School/Secondary Education"/>
        <s v="Associate's Degree/Diploma"/>
      </sharedItems>
    </cacheField>
    <cacheField name="4. What is the primary industry of your technopreneurial venture?" numFmtId="0">
      <sharedItems count="8">
        <s v="Digital Marketing"/>
        <s v="Hardware Development"/>
        <s v="Software Development"/>
        <s v="Fintech"/>
        <s v="EdTech Services"/>
        <s v="Manufacturing"/>
        <s v="Renewable Energy"/>
        <s v="saas, geospatial technology"/>
      </sharedItems>
    </cacheField>
    <cacheField name="5. How long has your technopreneurial venture been in operation?" numFmtId="0">
      <sharedItems count="4">
        <s v="3-5 years"/>
        <s v="More than 5 years"/>
        <s v="1-3 years"/>
        <s v="Less than 1 year"/>
      </sharedItems>
    </cacheField>
    <cacheField name="1. Which product development approach is mainly followed in your venture?" numFmtId="0">
      <sharedItems count="4">
        <s v="Customer Centric Approach"/>
        <s v="Structured Management approach"/>
        <s v="Traditional sequential development"/>
        <s v="Design Thinking approach"/>
      </sharedItems>
    </cacheField>
    <cacheField name="2. What is your Source of Product Ideas" numFmtId="0">
      <sharedItems count="4">
        <s v="Market Research"/>
        <s v="Customer feedback"/>
        <s v="Founder’s technical expertise"/>
        <s v="Competitor Analysis"/>
      </sharedItems>
    </cacheField>
    <cacheField name="3. Do you involve customers or users in your product development process?" numFmtId="0">
      <sharedItems count="4">
        <s v="Yes, occasionally"/>
        <s v="No, but we plan to in the future"/>
        <s v="Yes, regularly"/>
        <s v="No, we do not currently involve customers"/>
      </sharedItems>
    </cacheField>
    <cacheField name="4. How frequently is the product upgraded technologically?" numFmtId="0">
      <sharedItems count="4">
        <s v="Annually"/>
        <s v="Rarely upgraded"/>
        <s v="Only when required"/>
        <s v="Every 3-6 months"/>
      </sharedItems>
    </cacheField>
    <cacheField name="5. Your product development strategy focuses more on:" numFmtId="0">
      <sharedItems count="4">
        <s v="Market Expansion"/>
        <s v="Product Improvement"/>
        <s v="Product line extension"/>
        <s v="Diversification"/>
      </sharedItems>
    </cacheField>
    <cacheField name="6. Importance Scale – Rate the importance of the following for product development success:_x000a_( 1 = Not Important at All, 2 = Somewhat important, 3= Moderately Important, 4 = Very Important, 5 = Extremely Important) [Market research]" numFmtId="0">
      <sharedItems containsSemiMixedTypes="0" containsString="0" containsNumber="1" containsInteger="1" minValue="1" maxValue="5" count="5">
        <n v="4"/>
        <n v="5"/>
        <n v="3"/>
        <n v="1"/>
        <n v="2"/>
      </sharedItems>
    </cacheField>
    <cacheField name="6. Importance Scale – Rate the importance of the following for product development success:_x000a_( 1 = Not Important at All, 2 = Somewhat important, 3= Moderately Important, 4 = Very Important, 5 = Extremely Important) [Collaboration with industry experts]" numFmtId="0">
      <sharedItems containsSemiMixedTypes="0" containsString="0" containsNumber="1" containsInteger="1" minValue="1" maxValue="5"/>
    </cacheField>
    <cacheField name="6. Importance Scale – Rate the importance of the following for product development success:_x000a_( 1 = Not Important at All, 2 = Somewhat important, 3= Moderately Important, 4 = Very Important, 5 = Extremely Important) [Access to latest technologies]" numFmtId="0">
      <sharedItems containsSemiMixedTypes="0" containsString="0" containsNumber="1" containsInteger="1" minValue="1" maxValue="5"/>
    </cacheField>
    <cacheField name="6. Importance Scale – Rate the importance of the following for product development success:_x000a_( 1 = Not Important at All, 2 = Somewhat important, 3= Moderately Important, 4 = Very Important, 5 = Extremely Important) [Customer Feedback]" numFmtId="0">
      <sharedItems containsSemiMixedTypes="0" containsString="0" containsNumber="1" containsInteger="1" minValue="2" maxValue="5"/>
    </cacheField>
    <cacheField name="1. Which of the following pricing strategies do you primarily use for your core product/service?" numFmtId="0">
      <sharedItems count="7">
        <s v="Value-based Pricing (based on the perceived value to the customer)"/>
        <s v="Competitor-based Pricing (matching or undercutting competitors' prices)"/>
        <s v="Cost-plus Pricing (adding a markup to production cost)"/>
        <s v="Cost-plus Pricing (adding a markup to production cost), Penetration Pricing (setting a low initial price to gain market share)"/>
        <s v="Cost-plus Pricing (adding a markup to production cost), Skimming Pricing (setting a high initial price and gradually lowering it)"/>
        <s v="Value-based Pricing (based on the perceived value to the customer), Competitor-based Pricing (matching or undercutting competitors' prices)"/>
        <s v="Subscription Model"/>
      </sharedItems>
    </cacheField>
    <cacheField name="2. How frequently do you review and adjust your pricing strategy?" numFmtId="0">
      <sharedItems count="5">
        <s v="Only when necessary (e.g., due to market changes or new products)"/>
        <s v="Quarterly"/>
        <s v="Monthly"/>
        <s v="Annually"/>
        <s v="Only when necessary (e.g., due to market charges or new products)"/>
      </sharedItems>
    </cacheField>
    <cacheField name="3. Agreement Scale Indicate your level of agreement on a 7- point scale: (1 = Strongly disagree, 2 = Disagree, 3 = Moderately disagree, 4 = Neither agree nor disagree, 5 = Moderately agree, 6 = Agree, 7 = Strongly agree.) [Our pricing strategy is aligned " numFmtId="0">
      <sharedItems containsSemiMixedTypes="0" containsString="0" containsNumber="1" containsInteger="1" minValue="1" maxValue="7"/>
    </cacheField>
    <cacheField name="3. Agreement Scale Indicate your level of agreement on a 7- point scale: (1 = Strongly disagree, 2 = Disagree, 3 = Moderately disagree, 4 = Neither agree nor disagree, 5 = Moderately agree, 6 = Agree, 7 = Strongly agree.) [We do offer different level of p" numFmtId="0">
      <sharedItems containsSemiMixedTypes="0" containsString="0" containsNumber="1" containsInteger="1" minValue="2" maxValue="7"/>
    </cacheField>
    <cacheField name="3. Agreement Scale Indicate your level of agreement on a 7- point scale: (1 = Strongly disagree, 2 = Disagree, 3 = Moderately disagree, 4 = Neither agree nor disagree, 5 = Moderately agree, 6 = Agree, 7 = Strongly agree.) [We regularly monitor competitor " numFmtId="0">
      <sharedItems containsSemiMixedTypes="0" containsString="0" containsNumber="1" containsInteger="1" minValue="1" maxValue="7"/>
    </cacheField>
    <cacheField name="3. Agreement Scale Indicate your level of agreement on a 7- point scale: (1 = Strongly disagree, 2 = Disagree, 3 = Moderately disagree, 4 = Neither agree nor disagree, 5 = Moderately agree, 6 = Agree, 7 = Strongly agree.) [We face problem of intense compe" numFmtId="0">
      <sharedItems containsSemiMixedTypes="0" containsString="0" containsNumber="1" containsInteger="1" minValue="1" maxValue="7"/>
    </cacheField>
    <cacheField name="3. Agreement Scale Indicate your level of agreement on a 7- point scale: (1 = Strongly disagree, 2 = Disagree, 3 = Moderately disagree, 4 = Neither agree nor disagree, 5 = Moderately agree, 6 = Agree, 7 = Strongly agree.) [High production cost is one of t" numFmtId="0">
      <sharedItems containsSemiMixedTypes="0" containsString="0" containsNumber="1" containsInteger="1" minValue="1" maxValue="7"/>
    </cacheField>
    <cacheField name="3. Agreement Scale Indicate your level of agreement on a 7- point scale: (1 = Strongly disagree, 2 = Disagree, 3 = Moderately disagree, 4 = Neither agree nor disagree, 5 = Moderately agree, 6 = Agree, 7 = Strongly agree.) [Managing pricing across differen" numFmtId="0">
      <sharedItems containsSemiMixedTypes="0" containsString="0" containsNumber="1" containsInteger="1" minValue="1" maxValue="7"/>
    </cacheField>
    <cacheField name="3. Agreement Scale Indicate your level of agreement on a 7- point scale: (1 = Strongly disagree, 2 = Disagree, 3 = Moderately disagree, 4 = Neither agree nor disagree, 5 = Moderately agree, 6 = Agree, 7 = Strongly agree.) [We use technology tools/software" numFmtId="0">
      <sharedItems containsSemiMixedTypes="0" containsString="0" containsNumber="1" containsInteger="1" minValue="1" maxValue="7"/>
    </cacheField>
    <cacheField name="3. Agreement Scale Indicate your level of agreement on a 7- point scale: (1 = Strongly disagree, 2 = Disagree, 3 = Moderately disagree, 4 = Neither agree nor disagree, 5 = Moderately agree, 6 = Agree, 7 = Strongly agree.) [Automation tools help us manage " numFmtId="0">
      <sharedItems containsSemiMixedTypes="0" containsString="0" containsNumber="1" containsInteger="1" minValue="1" maxValue="7"/>
    </cacheField>
    <cacheField name="1. Which of the following promotional channels do you heavily utilize? (Select all that apply)" numFmtId="0">
      <sharedItems count="24" longText="1">
        <s v="Social Media Marketing (e.g., Facebook, Instagram, LinkedIn, X), Content Marketing (e.g., blogs, articles, videos), Search Engine Optimization (SEO), Pay-Per-Click (PPC) Advertising (e.g., Google Ads, social media ads), Email Marketing"/>
        <s v="Social Media Marketing (e.g., Facebook, Instagram, LinkedIn, X)"/>
        <s v="Social Media Marketing (e.g., Facebook, Instagram, LinkedIn, X), Content Marketing (e.g., blogs, articles, videos), Search Engine Optimization (SEO)"/>
        <s v="Social Media Marketing (e.g., Facebook, Instagram, LinkedIn, X), Search Engine Optimization (SEO), Email Marketing, Public Relations (PR)"/>
        <s v="Social Media Marketing (e.g., Facebook, Instagram, LinkedIn, X), Content Marketing (e.g., blogs, articles, videos), Public Relations (PR)"/>
        <s v="Social Media Marketing (e.g., Facebook, Instagram, LinkedIn, X), Content Marketing (e.g., blogs, articles, videos), Pay-Per-Click (PPC) Advertising (e.g., Google Ads, social media ads)"/>
        <s v="Social Media Marketing (e.g., Facebook, Instagram, LinkedIn, X), Email Marketing, Event Marketing (e.g., webinars, conferences, workshops)"/>
        <s v="Social Media Marketing (e.g., Facebook, Instagram, LinkedIn, X), Content Marketing (e.g., blogs, articles, videos)"/>
        <s v="Social Media Marketing (e.g., Facebook, Instagram, LinkedIn, X), Search Engine Optimization (SEO), Email Marketing, Public Relations (PR), Referral Programs, Partnerships and Collaborations"/>
        <s v="Social Media Marketing (e.g., Facebook, Instagram, LinkedIn, X), Email Marketing, Referral Programs, Partnerships and Collaborations"/>
        <s v="Referral Programs"/>
        <s v="Social Media Marketing (e.g., Facebook, Instagram, LinkedIn, X), Content Marketing (e.g., blogs, articles, videos), Search Engine Optimization (SEO), Email Marketing, Public Relations (PR), Partnerships and Collaborations"/>
        <s v="Public Relations (PR), Partnerships and Collaborations"/>
        <s v="Social Media Marketing (e.g., Facebook, Instagram, LinkedIn, X), Content Marketing (e.g., blogs, articles, videos), Search Engine Optimization (SEO), Pay-Per-Click (PPC) Advertising (e.g., Google Ads, social media ads), Email Marketing, Public Relations (PR), Event Marketing (e.g., webinars, conferences, workshops), Referral Programs, Partnerships and Collaborations"/>
        <s v="Search Engine Optimization (SEO), Email Marketing, Partnerships and Collaborations"/>
        <s v="Social Media Marketing (e.g., Facebook, Instagram, LinkedIn, X), Email Marketing"/>
        <s v="Public Relations (PR)"/>
        <s v="Mouth to mouth publicity"/>
        <s v="Social Media Marketing (e.g., Facebook, Instagram, LinkedIn, X), Content Marketing (e.g., blogs, articles, videos), Email Marketing"/>
        <s v="Social Media Marketing (e.g., Facebook, Instagram, LinkedIn, X), Influencer Marketing"/>
        <s v="Social Media Marketing (e.g., Facebook, Instagram, LinkedIn, X), Content Marketing (e.g., blogs, articles, videos), Email Marketing, Influencer Marketing, Event Marketing (e.g., webinars, conferences, workshops)"/>
        <s v="Social Media Marketing (e.g., Facebook, Instagram, LinkedIn, X), Content Marketing (e.g., blogs, articles, videos), Search Engine Optimization (SEO), Partnerships and Collaborations"/>
        <s v="Content Marketing (e.g., blogs, articles, videos)"/>
        <s v="Search Engine Optimization (SEO)"/>
      </sharedItems>
    </cacheField>
    <cacheField name="2. Importance Scale – Rate the importance of the following factors for promotional efforts: (1 = Not Important at All, 2= Somewhat important, 3 = Moderately Important, 4= Very Important, 5 = Extremely Important) Indicate your agreement on the Agreement Sc" numFmtId="0">
      <sharedItems containsSemiMixedTypes="0" containsString="0" containsNumber="1" containsInteger="1" minValue="1" maxValue="5"/>
    </cacheField>
    <cacheField name="2. Importance Scale – Rate the importance of the following factors for promotional efforts: (1 = Not Important at All, 2= Somewhat important, 3 = Moderately Important, 4= Very Important, 5 = Extremely Important) Indicate your agreement on the Agreement2" numFmtId="0">
      <sharedItems containsSemiMixedTypes="0" containsString="0" containsNumber="1" containsInteger="1" minValue="1" maxValue="5"/>
    </cacheField>
    <cacheField name="2. Importance Scale – Rate the importance of the following factors for promotional efforts: (1 = Not Important at All, 2= Somewhat important, 3 = Moderately Important, 4= Very Important, 5 = Extremely Important) Indicate your agreement on the Agreement3" numFmtId="0">
      <sharedItems containsSemiMixedTypes="0" containsString="0" containsNumber="1" containsInteger="1" minValue="1" maxValue="5"/>
    </cacheField>
    <cacheField name="2. Importance Scale – Rate the importance of the following factors for promotional efforts: (1 = Not Important at All, 2= Somewhat important, 3 = Moderately Important, 4= Very Important, 5 = Extremely Important) Indicate your agreement on the Agreement4" numFmtId="0">
      <sharedItems containsSemiMixedTypes="0" containsString="0" containsNumber="1" containsInteger="1" minValue="1" maxValue="5"/>
    </cacheField>
    <cacheField name="2. Importance Scale – Rate the importance of the following factors for promotional efforts: (1 = Not Important at All, 2= Somewhat important, 3 = Moderately Important, 4= Very Important, 5 = Extremely Important) Indicate your agreement on the Agreement5" numFmtId="0">
      <sharedItems containsSemiMixedTypes="0" containsString="0" containsNumber="1" containsInteger="1" minValue="1" maxValue="5"/>
    </cacheField>
    <cacheField name="3. Which of these metrics do you primarily use to evaluate the effectiveness of your promotional strategies?" numFmtId="0">
      <sharedItems count="7">
        <s v="Conversion Rates (e.g., sign-ups, purchases)"/>
        <s v="Website Traffic"/>
        <s v="Brand Awareness (e.g., mentions, surveys)"/>
        <s v="Lead Generation (number of leads)"/>
        <s v="Customer Acquisition Cost (CAC)"/>
        <s v="Return on Investment (ROI)"/>
        <s v="Social Media Engagement (likes, shares, comments)"/>
      </sharedItems>
    </cacheField>
    <cacheField name="1. Which of the following distribution channels do you use to deliver your product/service?" numFmtId="0">
      <sharedItems count="14">
        <s v="Hybrid Approach (combining multiple channels)"/>
        <s v="Resellers/Channel Partners"/>
        <s v="Direct Sales (selling directly to end-users), Online Marketplaces (e.g., App Stores, SaaS platforms)"/>
        <s v="Direct Sales (selling directly to end-users), Resellers/Channel Partners"/>
        <s v="Direct Sales (selling directly to end-users), Resellers/Channel Partners, Distributors"/>
        <s v="Online Marketplaces (e.g., App Stores, SaaS platforms), Hybrid Approach (combining multiple channels)"/>
        <s v="Direct Sales (selling directly to end-users)"/>
        <s v="Distributors"/>
        <s v="Online Marketplaces (e.g., App Stores, SaaS platforms), Distributors"/>
        <s v="Direct Sales (selling directly to end-users), Online Marketplaces (e.g., App Stores, SaaS platforms), Wholesalers"/>
        <s v="Online Marketplaces (e.g., App Stores, SaaS platforms), Distributors, Wholesalers, "/>
        <s v="Direct Sales (selling directly to end-users), Resellers/Channel Partners, Distributors, Wholesalers"/>
        <s v="Direct Sales (selling directly to end-users), Distributors, Wholesalers, Hybrid Approach (combining, multiple channels)"/>
        <s v="Online Marketplaces (e.g., App Stores, SaaS platforms)"/>
      </sharedItems>
    </cacheField>
    <cacheField name="2. Importance Scale – Rate the importance of the following factors for Distribution Strategy: ) ) ) ) ) ) (1 = Not Important at All, 2= Somewhat important, 3 = Moderately Important, 4= Very Important, 5 = Extremely Important) [How important is a wide reac" numFmtId="0">
      <sharedItems containsSemiMixedTypes="0" containsString="0" containsNumber="1" containsInteger="1" minValue="1" maxValue="5"/>
    </cacheField>
    <cacheField name="2. Importance Scale – Rate the importance of the following factors for Distribution Strategy: ) ) ) ) ) ) (1 = Not Important at All, 2= Somewhat important, 3 = Moderately Important, 4= Very Important, 5 = Extremely Important) [How important is Digital Pla" numFmtId="0">
      <sharedItems containsSemiMixedTypes="0" containsString="0" containsNumber="1" containsInteger="1" minValue="1" maxValue="5"/>
    </cacheField>
    <cacheField name="2. Importance Scale – Rate the importance of the following factors for Distribution Strategy: ) ) ) ) ) ) (1 = Not Important at All, 2= Somewhat important, 3 = Moderately Important, 4= Very Important, 5 = Extremely Important) [Nature of Product]" numFmtId="0">
      <sharedItems containsSemiMixedTypes="0" containsString="0" containsNumber="1" containsInteger="1" minValue="1" maxValue="5"/>
    </cacheField>
    <cacheField name="2. Importance Scale – Rate the importance of the following factors for Distribution Strategy: ) ) ) ) ) ) (1 = Not Important at All, 2= Somewhat important, 3 = Moderately Important, 4= Very Important, 5 = Extremely Important) [Nature of Market]" numFmtId="0">
      <sharedItems containsSemiMixedTypes="0" containsString="0" containsNumber="1" containsInteger="1" minValue="1" maxValue="5"/>
    </cacheField>
    <cacheField name="2. Importance Scale – Rate the importance of the following factors for Distribution Strategy: ) ) ) ) ) ) (1 = Not Important at All, 2= Somewhat important, 3 = Moderately Important, 4= Very Important, 5 = Extremely Important) [Buying habits of the consume" numFmtId="0">
      <sharedItems containsSemiMixedTypes="0" containsString="0" containsNumber="1" containsInteger="1" minValue="1" maxValue="5"/>
    </cacheField>
    <cacheField name="2. Importance Scale – Rate the importance of the following factors for Distribution Strategy: ) ) ) ) ) ) (1 = Not Important at All, 2= Somewhat important, 3 = Moderately Important, 4= Very Important, 5 = Extremely Important) [Competition]" numFmtId="0">
      <sharedItems containsSemiMixedTypes="0" containsString="0" containsNumber="1" containsInteger="1" minValue="1" maxValue="5"/>
    </cacheField>
    <cacheField name="2. Importance Scale – Rate the importance of the following factors for Distribution Strategy: ) ) ) ) ) ) (1 = Not Important at All, 2= Somewhat important, 3 = Moderately Important, 4= Very Important, 5 = Extremely Important) [Government Regulations]" numFmtId="0">
      <sharedItems containsSemiMixedTypes="0" containsString="0" containsNumber="1" containsInteger="1" minValue="1" maxValue="5"/>
    </cacheField>
    <cacheField name="1.Which digital marketing channels are most effective for reaching your target audience? (Select all that apply)" numFmtId="0">
      <sharedItems count="27">
        <s v="Search Engine Optimization (SEO), Social Media Marketing (Organic), Social Media Advertising (Paid), Email Marketing"/>
        <s v="Social Media Marketing (Organic)"/>
        <s v="Search Engine Optimization (SEO), Social Media Marketing (Organic)"/>
        <s v="Search Engine Optimization (SEO), Email Marketing, Influencer Marketing"/>
        <s v="Search Engine Optimization (SEO), Social Media Marketing (Organic), Content Marketing (e.g., blogging, video marketing), Influencer Marketing, Online PR/Media Outreach"/>
        <s v="Social Media Marketing (Organic), Pay-Per-Click (PPC) Advertising (e.g., Google Ads)"/>
        <s v="Social Media Marketing (Organic), Content Marketing (e.g., blogging, video marketing), Influencer Marketing, Affiliate Marketing"/>
        <s v="Social Media Advertising (Paid), Influencer Marketing, Online PR/Media Outreach"/>
        <s v="Content Marketing (e.g., blogging, video marketing), Email Marketing"/>
        <s v="Email Marketing, Affiliate Marketing"/>
        <s v="Content Marketing (e.g., blogging, video marketing)"/>
        <s v="Content Marketing (e.g., blogging, video marketing), Email Marketing, Online PR/Media Outreach, Affiliate Marketing"/>
        <s v="Online PR/Media Outreach"/>
        <s v="Social Media Advertising (Paid)"/>
        <s v="Search Engine Optimization (SEO), Social Media Marketing (Organic), Social Media Advertising (Paid), GoogleMyBusiness"/>
        <s v="Search Engine Optimization (SEO), Email Marketing"/>
        <s v="Email Marketing"/>
        <s v="Social Media Marketing (Organic), Social Media Advertising (Paid)"/>
        <s v="Email Marketing, Personal meeting "/>
        <s v="Affiliate Marketing"/>
        <s v="Pay-Per-Click (PPC) Advertising (e.g., Google Ads), Online PR / Media Outreach"/>
        <s v="Search Engine Optimization (SEO), Social Media Marketing (Organic), Social Media Advertising (Paid), Influencer Marketing, Online PR / Media Outreach"/>
        <s v="Social Media Marketing (Organic), Pay-Per-Click (PPC) Advertising (e.g., Google Ads), Online PR / Media Outreach"/>
        <s v="Search Engine Optimization (SEO), Social Media Marketing (Organic), Social Media Advertising (Paid), Influencer Marketing"/>
        <s v="Search Engine Optimization (SEO), Social Media Marketing (Organic), Social Media Advertising (Paid), Pay-Per-Click (PPC) Advertising (e.g., Google Ads), Influencer Marketing"/>
        <s v="Search Engine Optimization (SEO)"/>
        <s v="Influencer Marketing"/>
      </sharedItems>
    </cacheField>
    <cacheField name="2. How important is website optimization for user experience (UX) and conversion rates in your digital marketing strategy?" numFmtId="0">
      <sharedItems count="5">
        <s v="Extremely Important"/>
        <s v="Very Important"/>
        <s v="Moderately Important"/>
        <s v="Not Important"/>
        <s v="Slightly Important"/>
      </sharedItems>
    </cacheField>
    <cacheField name="3. Do you employ data analytics and insights to refine your digital marketing campaigns?" numFmtId="0">
      <sharedItems count="4">
        <s v="Yes, consistently"/>
        <s v="Yes, occasionally"/>
        <s v="No, but we plan to in the future"/>
        <s v="No, we do not currently employ data analytics"/>
      </sharedItems>
    </cacheField>
    <cacheField name="4. How do you keep up-to-date with the latest trends and changes in digital marketing? (Select all that apply)" numFmtId="0">
      <sharedItems count="14">
        <s v="Webinars and online courses"/>
        <s v="Industry blogs and publications"/>
        <s v="Industry blogs and publications, Conferences and workshops"/>
        <s v="Webinars and online courses, Conferences and workshops"/>
        <s v="Industry blogs and publications, Conferences and workshops, Experimentation and trial-and-error"/>
        <s v="Industry blogs and publications, Experimentation and trial-and-error"/>
        <s v="Industry blogs and publications, Webinars and online courses, Conferences and workshops, Mentors or industry experts, Experimentation and trial-and-error"/>
        <s v="Industry blogs and publications, Webinars and online courses, Experimentation and trial-and-error"/>
        <s v="Conferences and workshops"/>
        <s v="Webinars and online courses, Conferences and workshops, Mentors or industry experts"/>
        <s v="Conferences and workshops, Mentors or industry experts"/>
        <s v="Experimentation and trial-and-error"/>
        <s v="Webinars and online courses, Mentors or industry experts"/>
        <s v="Industry blogs and publications, Webinars and online courses, Conferences and workshops, Mentors or industry experts"/>
      </sharedItems>
    </cacheField>
    <cacheField name="Rate the following challenges in terms of their significance to your marketing efforts (1 = Most Significant, 5 = Least Significant): [Limited marketing budget]" numFmtId="0">
      <sharedItems containsSemiMixedTypes="0" containsString="0" containsNumber="1" containsInteger="1" minValue="1" maxValue="5"/>
    </cacheField>
    <cacheField name="Rate the following challenges in terms of their significance to your marketing efforts (1 = Most Significant, 5 = Least Significant): [Lack of in-house marketing expertise]" numFmtId="0">
      <sharedItems containsSemiMixedTypes="0" containsString="0" containsNumber="1" containsInteger="1" minValue="1" maxValue="5"/>
    </cacheField>
    <cacheField name="Rate the following challenges in terms of their significance to your marketing efforts (1 = Most Significant, 5 = Least Significant): [Difficulty in identifying and targeting the right audience]" numFmtId="0">
      <sharedItems containsSemiMixedTypes="0" containsString="0" containsNumber="1" containsInteger="1" minValue="1" maxValue="5"/>
    </cacheField>
    <cacheField name="Rate the following challenges in terms of their significance to your marketing efforts (1 = Most Significant, 5 = Least Significant): [Intense competition within the tech industry]" numFmtId="0">
      <sharedItems containsSemiMixedTypes="0" containsString="0" containsNumber="1" containsInteger="1" minValue="1" maxValue="5" count="5">
        <n v="2"/>
        <n v="1"/>
        <n v="3"/>
        <n v="4"/>
        <n v="5"/>
      </sharedItems>
    </cacheField>
    <cacheField name="Rate the following challenges in terms of their significance to your marketing efforts (1 = Most Significant, 5 = Least Significant): [Rapidly changing digital marketing landscape/algorithms]" numFmtId="0">
      <sharedItems containsSemiMixedTypes="0" containsString="0" containsNumber="1" containsInteger="1" minValue="1" maxValue="5"/>
    </cacheField>
    <cacheField name="Rate the following challenges in terms of their significance to your marketing efforts (1 = Most Significant, 5 = Least Significant): [Measuring Return on Investment (ROI) effectively]" numFmtId="0">
      <sharedItems containsSemiMixedTypes="0" containsString="0" containsNumber="1" containsInteger="1" minValue="1" maxValue="5"/>
    </cacheField>
    <cacheField name="Rate the following challenges in terms of their significance to your marketing efforts (1 = Most Significant, 5 = Least Significant): [Building brand awareness and recognition]" numFmtId="0">
      <sharedItems containsSemiMixedTypes="0" containsString="0" containsNumber="1" containsInteger="1" minValue="1" maxValue="5"/>
    </cacheField>
    <cacheField name="Rate the following challenges in terms of their significance to your marketing efforts (1 = Most Significant, 5 = Least Significant): [Customer acquisition and retention]" numFmtId="0">
      <sharedItems containsSemiMixedTypes="0" containsString="0" containsNumber="1" containsInteger="1" minValue="1" maxValue="5"/>
    </cacheField>
    <cacheField name="Rate the following challenges in terms of their significance to your marketing efforts (1 = Most Significant, 5 = Least Significant): [Data privacy and compliance concerns]" numFmtId="0">
      <sharedItems containsSemiMixedTypes="0" containsString="0" containsNumber="1" containsInteger="1" minValue="1" maxValue="5"/>
    </cacheField>
    <cacheField name="Rate the following challenges in terms of their significance to your marketing efforts (1 = Most Significant, 5 = Least Significant): [Resistance to change or adoption of new technologies by the target market]"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201327491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o Gonsalves" refreshedDate="46171.787140509259" createdVersion="8" refreshedVersion="8" minRefreshableVersion="3" recordCount="420" xr:uid="{7A2C9965-99EE-470A-B726-DF19280C1332}">
  <cacheSource type="worksheet">
    <worksheetSource name="Table1_1"/>
  </cacheSource>
  <cacheFields count="42">
    <cacheField name="Sr. no." numFmtId="0">
      <sharedItems containsSemiMixedTypes="0" containsString="0" containsNumber="1" containsInteger="1" minValue="1" maxValue="30"/>
    </cacheField>
    <cacheField name="1. Age (years)" numFmtId="0">
      <sharedItems/>
    </cacheField>
    <cacheField name="2. Gender" numFmtId="0">
      <sharedItems/>
    </cacheField>
    <cacheField name="3. What is your highest level of education?" numFmtId="0">
      <sharedItems/>
    </cacheField>
    <cacheField name="4. What is the primary industry of your technopreneurial venture?" numFmtId="0">
      <sharedItems count="8">
        <s v="Digital Marketing"/>
        <s v="Hardware Development"/>
        <s v="Software Development"/>
        <s v="Fintech"/>
        <s v="EdTech Services"/>
        <s v="Manufacturing"/>
        <s v="Renewable Energy"/>
        <s v="saas, geospatial technology"/>
      </sharedItems>
    </cacheField>
    <cacheField name="5. How long has your technopreneurial venture been in operation?" numFmtId="0">
      <sharedItems/>
    </cacheField>
    <cacheField name="6. Importance Scale – Rate the importance of the following for product development success:_x000a_( 1 = Not Important at All, 2 = Somewhat important, 3= Moderately Important, 4 = Very Important, 5 = Extremely Important) [Market research]" numFmtId="0">
      <sharedItems containsSemiMixedTypes="0" containsString="0" containsNumber="1" containsInteger="1" minValue="1" maxValue="5"/>
    </cacheField>
    <cacheField name="6. Importance Scale – Rate the importance of the following for product development success:_x000a_( 1 = Not Important at All, 2 = Somewhat important, 3= Moderately Important, 4 = Very Important, 5 = Extremely Important) [Collaboration with industry experts]" numFmtId="0">
      <sharedItems containsSemiMixedTypes="0" containsString="0" containsNumber="1" containsInteger="1" minValue="1" maxValue="5"/>
    </cacheField>
    <cacheField name="6. Importance Scale – Rate the importance of the following for product development success:_x000a_( 1 = Not Important at All, 2 = Somewhat important, 3= Moderately Important, 4 = Very Important, 5 = Extremely Important) [Access to latest technologies]" numFmtId="0">
      <sharedItems containsSemiMixedTypes="0" containsString="0" containsNumber="1" containsInteger="1" minValue="1" maxValue="5"/>
    </cacheField>
    <cacheField name="6. Importance Scale – Rate the importance of the following for product development success:_x000a_( 1 = Not Important at All, 2 = Somewhat important, 3= Moderately Important, 4 = Very Important, 5 = Extremely Important) [Customer Feedback]" numFmtId="0">
      <sharedItems containsSemiMixedTypes="0" containsString="0" containsNumber="1" containsInteger="1" minValue="2" maxValue="5"/>
    </cacheField>
    <cacheField name="3. Agreement Scale Indicate your level of agreement on a 7- point scale: (1 = Strongly disagree, 2 = Disagree, 3 = Moderately disagree, 4 = Neither agree nor disagree, 5 = Moderately agree, 6 = Agree, 7 = Strongly agree.) [Our pricing strategy is aligned " numFmtId="0">
      <sharedItems containsSemiMixedTypes="0" containsString="0" containsNumber="1" containsInteger="1" minValue="1" maxValue="7"/>
    </cacheField>
    <cacheField name="3. Agreement Scale Indicate your level of agreement on a 7- point scale: (1 = Strongly disagree, 2 = Disagree, 3 = Moderately disagree, 4 = Neither agree nor disagree, 5 = Moderately agree, 6 = Agree, 7 = Strongly agree.) [We do offer different level of p" numFmtId="0">
      <sharedItems containsSemiMixedTypes="0" containsString="0" containsNumber="1" containsInteger="1" minValue="2" maxValue="7"/>
    </cacheField>
    <cacheField name="3. Agreement Scale Indicate your level of agreement on a 7- point scale: (1 = Strongly disagree, 2 = Disagree, 3 = Moderately disagree, 4 = Neither agree nor disagree, 5 = Moderately agree, 6 = Agree, 7 = Strongly agree.) [We regularly monitor competitor " numFmtId="0">
      <sharedItems containsSemiMixedTypes="0" containsString="0" containsNumber="1" containsInteger="1" minValue="1" maxValue="7"/>
    </cacheField>
    <cacheField name="3. Agreement Scale Indicate your level of agreement on a 7- point scale: (1 = Strongly disagree, 2 = Disagree, 3 = Moderately disagree, 4 = Neither agree nor disagree, 5 = Moderately agree, 6 = Agree, 7 = Strongly agree.) [We face problem of intense compe" numFmtId="0">
      <sharedItems containsSemiMixedTypes="0" containsString="0" containsNumber="1" containsInteger="1" minValue="1" maxValue="7"/>
    </cacheField>
    <cacheField name="3. Agreement Scale Indicate your level of agreement on a 7- point scale: (1 = Strongly disagree, 2 = Disagree, 3 = Moderately disagree, 4 = Neither agree nor disagree, 5 = Moderately agree, 6 = Agree, 7 = Strongly agree.) [High production cost is one of t" numFmtId="0">
      <sharedItems containsSemiMixedTypes="0" containsString="0" containsNumber="1" containsInteger="1" minValue="1" maxValue="7"/>
    </cacheField>
    <cacheField name="3. Agreement Scale Indicate your level of agreement on a 7- point scale: (1 = Strongly disagree, 2 = Disagree, 3 = Moderately disagree, 4 = Neither agree nor disagree, 5 = Moderately agree, 6 = Agree, 7 = Strongly agree.) [Managing pricing across differen" numFmtId="0">
      <sharedItems containsSemiMixedTypes="0" containsString="0" containsNumber="1" containsInteger="1" minValue="1" maxValue="7"/>
    </cacheField>
    <cacheField name="3. Agreement Scale Indicate your level of agreement on a 7- point scale: (1 = Strongly disagree, 2 = Disagree, 3 = Moderately disagree, 4 = Neither agree nor disagree, 5 = Moderately agree, 6 = Agree, 7 = Strongly agree.) [We use technology tools/software" numFmtId="0">
      <sharedItems containsSemiMixedTypes="0" containsString="0" containsNumber="1" containsInteger="1" minValue="1" maxValue="7"/>
    </cacheField>
    <cacheField name="3. Agreement Scale Indicate your level of agreement on a 7- point scale: (1 = Strongly disagree, 2 = Disagree, 3 = Moderately disagree, 4 = Neither agree nor disagree, 5 = Moderately agree, 6 = Agree, 7 = Strongly agree.) [Automation tools help us manage " numFmtId="0">
      <sharedItems containsSemiMixedTypes="0" containsString="0" containsNumber="1" containsInteger="1" minValue="1" maxValue="7"/>
    </cacheField>
    <cacheField name="2. Importance Scale – Rate the importance of the following factors for promotional efforts: (1 = Not Important at All, 2= Somewhat important, 3 = Moderately Important, 4= Very Important, 5 = Extremely Important) Indicate your agreement on the Agreement Sc" numFmtId="0">
      <sharedItems containsSemiMixedTypes="0" containsString="0" containsNumber="1" containsInteger="1" minValue="1" maxValue="5"/>
    </cacheField>
    <cacheField name="2. Importance Scale – Rate the importance of the following factors for promotional efforts: (1 = Not Important at All, 2= Somewhat important, 3 = Moderately Important, 4= Very Important, 5 = Extremely Important) Indicate your agreement on the Agreement2" numFmtId="0">
      <sharedItems containsSemiMixedTypes="0" containsString="0" containsNumber="1" containsInteger="1" minValue="1" maxValue="5"/>
    </cacheField>
    <cacheField name="2. Importance Scale – Rate the importance of the following factors for promotional efforts: (1 = Not Important at All, 2= Somewhat important, 3 = Moderately Important, 4= Very Important, 5 = Extremely Important) Indicate your agreement on the Agreement3" numFmtId="0">
      <sharedItems containsSemiMixedTypes="0" containsString="0" containsNumber="1" containsInteger="1" minValue="1" maxValue="5"/>
    </cacheField>
    <cacheField name="2. Importance Scale – Rate the importance of the following factors for promotional efforts: (1 = Not Important at All, 2= Somewhat important, 3 = Moderately Important, 4= Very Important, 5 = Extremely Important) Indicate your agreement on the Agreement4" numFmtId="0">
      <sharedItems containsSemiMixedTypes="0" containsString="0" containsNumber="1" containsInteger="1" minValue="1" maxValue="5"/>
    </cacheField>
    <cacheField name="2. Importance Scale – Rate the importance of the following factors for promotional efforts: (1 = Not Important at All, 2= Somewhat important, 3 = Moderately Important, 4= Very Important, 5 = Extremely Important) Indicate your agreement on the Agreement5" numFmtId="0">
      <sharedItems containsSemiMixedTypes="0" containsString="0" containsNumber="1" containsInteger="1" minValue="1" maxValue="5"/>
    </cacheField>
    <cacheField name="2. Importance Scale – Rate the importance of the following factors for Distribution Strategy: ) ) ) ) ) ) (1 = Not Important at All, 2= Somewhat important, 3 = Moderately Important, 4= Very Important, 5 = Extremely Important) [How important is a wide reac" numFmtId="0">
      <sharedItems containsSemiMixedTypes="0" containsString="0" containsNumber="1" containsInteger="1" minValue="1" maxValue="5"/>
    </cacheField>
    <cacheField name="2. Importance Scale – Rate the importance of the following factors for Distribution Strategy: ) ) ) ) ) ) (1 = Not Important at All, 2= Somewhat important, 3 = Moderately Important, 4= Very Important, 5 = Extremely Important) [How important is Digital Pla" numFmtId="0">
      <sharedItems containsSemiMixedTypes="0" containsString="0" containsNumber="1" containsInteger="1" minValue="1" maxValue="5"/>
    </cacheField>
    <cacheField name="2. Importance Scale – Rate the importance of the following factors for Distribution Strategy: ) ) ) ) ) ) (1 = Not Important at All, 2= Somewhat important, 3 = Moderately Important, 4= Very Important, 5 = Extremely Important) [Nature of Product]" numFmtId="0">
      <sharedItems containsSemiMixedTypes="0" containsString="0" containsNumber="1" containsInteger="1" minValue="1" maxValue="5"/>
    </cacheField>
    <cacheField name="2. Importance Scale – Rate the importance of the following factors for Distribution Strategy: ) ) ) ) ) ) (1 = Not Important at All, 2= Somewhat important, 3 = Moderately Important, 4= Very Important, 5 = Extremely Important) [Nature of Market]" numFmtId="0">
      <sharedItems containsSemiMixedTypes="0" containsString="0" containsNumber="1" containsInteger="1" minValue="1" maxValue="5"/>
    </cacheField>
    <cacheField name="2. Importance Scale – Rate the importance of the following factors for Distribution Strategy: ) ) ) ) ) ) (1 = Not Important at All, 2= Somewhat important, 3 = Moderately Important, 4= Very Important, 5 = Extremely Important) [Buying habits of the consume" numFmtId="0">
      <sharedItems containsSemiMixedTypes="0" containsString="0" containsNumber="1" containsInteger="1" minValue="1" maxValue="5"/>
    </cacheField>
    <cacheField name="2. Importance Scale – Rate the importance of the following factors for Distribution Strategy: ) ) ) ) ) ) (1 = Not Important at All, 2= Somewhat important, 3 = Moderately Important, 4= Very Important, 5 = Extremely Important) [Competition]" numFmtId="0">
      <sharedItems containsSemiMixedTypes="0" containsString="0" containsNumber="1" containsInteger="1" minValue="1" maxValue="5"/>
    </cacheField>
    <cacheField name="2. Importance Scale – Rate the importance of the following factors for Distribution Strategy: ) ) ) ) ) ) (1 = Not Important at All, 2= Somewhat important, 3 = Moderately Important, 4= Very Important, 5 = Extremely Important) [Government Regulations]" numFmtId="0">
      <sharedItems containsSemiMixedTypes="0" containsString="0" containsNumber="1" containsInteger="1" minValue="1" maxValue="5"/>
    </cacheField>
    <cacheField name="Rate the following challenges in terms of their significance to your marketing efforts (1 = Most Significant, 5 = Least Significant): [Limited marketing budget]" numFmtId="0">
      <sharedItems containsSemiMixedTypes="0" containsString="0" containsNumber="1" containsInteger="1" minValue="1" maxValue="5"/>
    </cacheField>
    <cacheField name="Rate the following challenges in terms of their significance to your marketing efforts (1 = Most Significant, 5 = Least Significant): [Lack of in-house marketing expertise]" numFmtId="0">
      <sharedItems containsSemiMixedTypes="0" containsString="0" containsNumber="1" containsInteger="1" minValue="1" maxValue="5"/>
    </cacheField>
    <cacheField name="Rate the following challenges in terms of their significance to your marketing efforts (1 = Most Significant, 5 = Least Significant): [Difficulty in identifying and targeting the right audience]" numFmtId="0">
      <sharedItems containsSemiMixedTypes="0" containsString="0" containsNumber="1" containsInteger="1" minValue="1" maxValue="5"/>
    </cacheField>
    <cacheField name="Rate the following challenges in terms of their significance to your marketing efforts (1 = Most Significant, 5 = Least Significant): [Intense competition within the tech industry]" numFmtId="0">
      <sharedItems containsSemiMixedTypes="0" containsString="0" containsNumber="1" containsInteger="1" minValue="1" maxValue="5"/>
    </cacheField>
    <cacheField name="Rate the following challenges in terms of their significance to your marketing efforts (1 = Most Significant, 5 = Least Significant): [Rapidly changing digital marketing landscape/algorithms]" numFmtId="0">
      <sharedItems containsSemiMixedTypes="0" containsString="0" containsNumber="1" containsInteger="1" minValue="1" maxValue="5"/>
    </cacheField>
    <cacheField name="Rate the following challenges in terms of their significance to your marketing efforts (1 = Most Significant, 5 = Least Significant): [Measuring Return on Investment (ROI) effectively]" numFmtId="0">
      <sharedItems containsSemiMixedTypes="0" containsString="0" containsNumber="1" containsInteger="1" minValue="1" maxValue="5"/>
    </cacheField>
    <cacheField name="Rate the following challenges in terms of their significance to your marketing efforts (1 = Most Significant, 5 = Least Significant): [Building brand awareness and recognition]" numFmtId="0">
      <sharedItems containsSemiMixedTypes="0" containsString="0" containsNumber="1" containsInteger="1" minValue="1" maxValue="5"/>
    </cacheField>
    <cacheField name="Rate the following challenges in terms of their significance to your marketing efforts (1 = Most Significant, 5 = Least Significant): [Customer acquisition and retention]" numFmtId="0">
      <sharedItems containsSemiMixedTypes="0" containsString="0" containsNumber="1" containsInteger="1" minValue="1" maxValue="5"/>
    </cacheField>
    <cacheField name="Rate the following challenges in terms of their significance to your marketing efforts (1 = Most Significant, 5 = Least Significant): [Data privacy and compliance concerns]" numFmtId="0">
      <sharedItems containsSemiMixedTypes="0" containsString="0" containsNumber="1" containsInteger="1" minValue="1" maxValue="5"/>
    </cacheField>
    <cacheField name="Rate the following challenges in terms of their significance to your marketing efforts (1 = Most Significant, 5 = Least Significant): [Resistance to change or adoption of new technologies by the target market]" numFmtId="0">
      <sharedItems containsSemiMixedTypes="0" containsString="0" containsNumber="1" containsInteger="1" minValue="1" maxValue="5"/>
    </cacheField>
    <cacheField name="Attribute" numFmtId="0">
      <sharedItems count="14">
        <s v="1. Which product development approach is mainly followed in your venture?"/>
        <s v="2. What is your Source of Product Ideas"/>
        <s v="3. Do you involve customers or users in your product development process?"/>
        <s v="4. How frequently is the product upgraded technologically?"/>
        <s v="5. Your product development strategy focuses more on:"/>
        <s v="1. Which of the following pricing strategies do you primarily use for your core product/service?"/>
        <s v="2. How frequently do you review and adjust your pricing strategy?"/>
        <s v="1. Which of the following promotional channels do you heavily utilize? (Select all that apply)"/>
        <s v="3. Which of these metrics do you primarily use to evaluate the effectiveness of your promotional strategies?"/>
        <s v="1. Which of the following distribution channels do you use to deliver your product/service?"/>
        <s v="1.Which digital marketing channels are most effective for reaching your target audience? (Select all that apply)"/>
        <s v="2. How important is website optimization for user experience (UX) and conversion rates in your digital marketing strategy?"/>
        <s v="3. Do you employ data analytics and insights to refine your digital marketing campaigns?"/>
        <s v="4. How do you keep up-to-date with the latest trends and changes in digital marketing? (Select all that apply)"/>
      </sharedItems>
    </cacheField>
    <cacheField name="Value" numFmtId="0">
      <sharedItems count="123" longText="1">
        <s v="Customer Centric Approach"/>
        <s v="Market Research"/>
        <s v="Yes, occasionally"/>
        <s v="Annually"/>
        <s v="Market Expansion"/>
        <s v="Value-based Pricing (based on the perceived value to the customer)"/>
        <s v="Only when necessary (e.g., due to market changes or new products)"/>
        <s v="Social Media Marketing (e.g., Facebook, Instagram, LinkedIn, X), Content Marketing (e.g., blogs, articles, videos), Search Engine Optimization (SEO), Pay-Per-Click (PPC) Advertising (e.g., Google Ads, social media ads), Email Marketing"/>
        <s v="Conversion Rates (e.g., sign-ups, purchases)"/>
        <s v="Hybrid Approach (combining multiple channels)"/>
        <s v="Search Engine Optimization (SEO), Social Media Marketing (Organic), Social Media Advertising (Paid), Email Marketing"/>
        <s v="Extremely Important"/>
        <s v="Yes, consistently"/>
        <s v="Webinars and online courses"/>
        <s v="Customer feedback"/>
        <s v="No, but we plan to in the future"/>
        <s v="Rarely upgraded"/>
        <s v="Social Media Marketing (e.g., Facebook, Instagram, LinkedIn, X)"/>
        <s v="Resellers/Channel Partners"/>
        <s v="Social Media Marketing (Organic)"/>
        <s v="Industry blogs and publications"/>
        <s v="Structured Management approach"/>
        <s v="Only when required"/>
        <s v="Product Improvement"/>
        <s v="Competitor-based Pricing (matching or undercutting competitors' prices)"/>
        <s v="Quarterly"/>
        <s v="Social Media Marketing (e.g., Facebook, Instagram, LinkedIn, X), Content Marketing (e.g., blogs, articles, videos), Search Engine Optimization (SEO)"/>
        <s v="Website Traffic"/>
        <s v="Direct Sales (selling directly to end-users), Online Marketplaces (e.g., App Stores, SaaS platforms)"/>
        <s v="Search Engine Optimization (SEO), Social Media Marketing (Organic)"/>
        <s v="Industry blogs and publications, Conferences and workshops"/>
        <s v="Yes, regularly"/>
        <s v="Every 3-6 months"/>
        <s v="Cost-plus Pricing (adding a markup to production cost)"/>
        <s v="Monthly"/>
        <s v="Social Media Marketing (e.g., Facebook, Instagram, LinkedIn, X), Search Engine Optimization (SEO), Email Marketing, Public Relations (PR)"/>
        <s v="Brand Awareness (e.g., mentions, surveys)"/>
        <s v="Direct Sales (selling directly to end-users), Resellers/Channel Partners"/>
        <s v="Search Engine Optimization (SEO), Email Marketing, Influencer Marketing"/>
        <s v="Webinars and online courses, Conferences and workshops"/>
        <s v="Social Media Marketing (e.g., Facebook, Instagram, LinkedIn, X), Content Marketing (e.g., blogs, articles, videos), Public Relations (PR)"/>
        <s v="Lead Generation (number of leads)"/>
        <s v="Direct Sales (selling directly to end-users), Resellers/Channel Partners, Distributors"/>
        <s v="Search Engine Optimization (SEO), Social Media Marketing (Organic), Content Marketing (e.g., blogging, video marketing), Influencer Marketing, Online PR/Media Outreach"/>
        <s v="Traditional sequential development"/>
        <s v="Cost-plus Pricing (adding a markup to production cost), Penetration Pricing (setting a low initial price to gain market share)"/>
        <s v="Social Media Marketing (e.g., Facebook, Instagram, LinkedIn, X), Content Marketing (e.g., blogs, articles, videos), Pay-Per-Click (PPC) Advertising (e.g., Google Ads, social media ads)"/>
        <s v="Online Marketplaces (e.g., App Stores, SaaS platforms), Hybrid Approach (combining multiple channels)"/>
        <s v="Social Media Marketing (Organic), Pay-Per-Click (PPC) Advertising (e.g., Google Ads)"/>
        <s v="Founder’s technical expertise"/>
        <s v="Cost-plus Pricing (adding a markup to production cost), Skimming Pricing (setting a high initial price and gradually lowering it)"/>
        <s v="Social Media Marketing (e.g., Facebook, Instagram, LinkedIn, X), Email Marketing, Event Marketing (e.g., webinars, conferences, workshops)"/>
        <s v="Customer Acquisition Cost (CAC)"/>
        <s v="Social Media Marketing (Organic), Content Marketing (e.g., blogging, video marketing), Influencer Marketing, Affiliate Marketing"/>
        <s v="Industry blogs and publications, Conferences and workshops, Experimentation and trial-and-error"/>
        <s v="Value-based Pricing (based on the perceived value to the customer), Competitor-based Pricing (matching or undercutting competitors' prices)"/>
        <s v="Social Media Advertising (Paid), Influencer Marketing, Online PR/Media Outreach"/>
        <s v="Very Important"/>
        <s v="Design Thinking approach"/>
        <s v="Social Media Marketing (e.g., Facebook, Instagram, LinkedIn, X), Content Marketing (e.g., blogs, articles, videos)"/>
        <s v="Direct Sales (selling directly to end-users)"/>
        <s v="Content Marketing (e.g., blogging, video marketing), Email Marketing"/>
        <s v="Moderately Important"/>
        <s v="Industry blogs and publications, Experimentation and trial-and-error"/>
        <s v="Social Media Marketing (e.g., Facebook, Instagram, LinkedIn, X), Search Engine Optimization (SEO), Email Marketing, Public Relations (PR), Referral Programs, Partnerships and Collaborations"/>
        <s v="Return on Investment (ROI)"/>
        <s v="Industry blogs and publications, Webinars and online courses, Conferences and workshops, Mentors or industry experts, Experimentation and trial-and-error"/>
        <s v="Social Media Marketing (e.g., Facebook, Instagram, LinkedIn, X), Email Marketing, Referral Programs, Partnerships and Collaborations"/>
        <s v="Email Marketing, Affiliate Marketing"/>
        <s v="Industry blogs and publications, Webinars and online courses, Experimentation and trial-and-error"/>
        <s v="Referral Programs"/>
        <s v="Content Marketing (e.g., blogging, video marketing)"/>
        <s v="Conferences and workshops"/>
        <s v="Product line extension"/>
        <s v="Social Media Marketing (e.g., Facebook, Instagram, LinkedIn, X), Content Marketing (e.g., blogs, articles, videos), Search Engine Optimization (SEO), Email Marketing, Public Relations (PR), Partnerships and Collaborations"/>
        <s v="Content Marketing (e.g., blogging, video marketing), Email Marketing, Online PR/Media Outreach, Affiliate Marketing"/>
        <s v="Public Relations (PR), Partnerships and Collaborations"/>
        <s v="Online PR/Media Outreach"/>
        <s v="Webinars and online courses, Conferences and workshops, Mentors or industry experts"/>
        <s v="No, we do not currently involve customers"/>
        <s v="Diversification"/>
        <s v="Distributors"/>
        <s v="Social Media Advertising (Paid)"/>
        <s v="Social Media Marketing (e.g., Facebook, Instagram, LinkedIn, X), Content Marketing (e.g., blogs, articles, videos), Search Engine Optimization (SEO), Pay-Per-Click (PPC) Advertising (e.g., Google Ads, social media ads), Email Marketing, Public Relations (PR), Event Marketing (e.g., webinars, conferences, workshops), Referral Programs, Partnerships and Collaborations"/>
        <s v="Search Engine Optimization (SEO), Social Media Marketing (Organic), Social Media Advertising (Paid), GoogleMyBusiness"/>
        <s v="Search Engine Optimization (SEO), Email Marketing, Partnerships and Collaborations"/>
        <s v="Search Engine Optimization (SEO), Email Marketing"/>
        <s v="No, we do not currently employ data analytics"/>
        <s v="Social Media Marketing (e.g., Facebook, Instagram, LinkedIn, X), Email Marketing"/>
        <s v="Email Marketing"/>
        <s v="Conferences and workshops, Mentors or industry experts"/>
        <s v="Public Relations (PR)"/>
        <s v="Social Media Marketing (Organic), Social Media Advertising (Paid)"/>
        <s v="Email Marketing, Personal meeting "/>
        <s v="Not Important"/>
        <s v="Experimentation and trial-and-error"/>
        <s v="Mouth to mouth publicity"/>
        <s v="Affiliate Marketing"/>
        <s v="Social Media Marketing (e.g., Facebook, Instagram, LinkedIn, X), Content Marketing (e.g., blogs, articles, videos), Email Marketing"/>
        <s v="Online Marketplaces (e.g., App Stores, SaaS platforms), Distributors"/>
        <s v="Pay-Per-Click (PPC) Advertising (e.g., Google Ads), Online PR / Media Outreach"/>
        <s v="Slightly Important"/>
        <s v="Webinars and online courses, Mentors or industry experts"/>
        <s v="Subscription Model"/>
        <s v="Social Media Marketing (e.g., Facebook, Instagram, LinkedIn, X), Influencer Marketing"/>
        <s v="Social Media Engagement (likes, shares, comments)"/>
        <s v="Direct Sales (selling directly to end-users), Online Marketplaces (e.g., App Stores, SaaS platforms), Wholesalers"/>
        <s v="Search Engine Optimization (SEO), Social Media Marketing (Organic), Social Media Advertising (Paid), Influencer Marketing, Online PR / Media Outreach"/>
        <s v="Online Marketplaces (e.g., App Stores, SaaS platforms), Distributors, Wholesalers, "/>
        <s v="Social Media Marketing (Organic), Pay-Per-Click (PPC) Advertising (e.g., Google Ads), Online PR / Media Outreach"/>
        <s v="Competitor Analysis"/>
        <s v="Social Media Marketing (e.g., Facebook, Instagram, LinkedIn, X), Content Marketing (e.g., blogs, articles, videos), Email Marketing, Influencer Marketing, Event Marketing (e.g., webinars, conferences, workshops)"/>
        <s v="Direct Sales (selling directly to end-users), Resellers/Channel Partners, Distributors, Wholesalers"/>
        <s v="Search Engine Optimization (SEO), Social Media Marketing (Organic), Social Media Advertising (Paid), Influencer Marketing"/>
        <s v="Only when necessary (e.g., due to market charges or new products)"/>
        <s v="Social Media Marketing (e.g., Facebook, Instagram, LinkedIn, X), Content Marketing (e.g., blogs, articles, videos), Search Engine Optimization (SEO), Partnerships and Collaborations"/>
        <s v="Direct Sales (selling directly to end-users), Distributors, Wholesalers, Hybrid Approach (combining, multiple channels)"/>
        <s v="Search Engine Optimization (SEO), Social Media Marketing (Organic), Social Media Advertising (Paid), Pay-Per-Click (PPC) Advertising (e.g., Google Ads), Influencer Marketing"/>
        <s v="Industry blogs and publications, Webinars and online courses, Conferences and workshops, Mentors or industry experts"/>
        <s v="Content Marketing (e.g., blogs, articles, videos)"/>
        <s v="Search Engine Optimization (SEO)"/>
        <s v="Online Marketplaces (e.g., App Stores, SaaS platforms)"/>
        <s v="Influencer Marketing"/>
      </sharedItems>
    </cacheField>
  </cacheFields>
  <extLst>
    <ext xmlns:x14="http://schemas.microsoft.com/office/spreadsheetml/2009/9/main" uri="{725AE2AE-9491-48be-B2B4-4EB974FC3084}">
      <x14:pivotCacheDefinition pivotCacheId="16156673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n v="1"/>
    <x v="0"/>
    <x v="0"/>
    <x v="0"/>
    <x v="0"/>
    <x v="0"/>
    <x v="0"/>
    <x v="0"/>
    <x v="0"/>
    <x v="0"/>
    <x v="0"/>
    <x v="0"/>
    <n v="4"/>
    <n v="5"/>
    <n v="5"/>
    <x v="0"/>
    <x v="0"/>
    <n v="6"/>
    <n v="6"/>
    <n v="5"/>
    <n v="5"/>
    <n v="4"/>
    <n v="4"/>
    <n v="5"/>
    <n v="4"/>
    <x v="0"/>
    <n v="5"/>
    <n v="4"/>
    <n v="4"/>
    <n v="5"/>
    <n v="4"/>
    <x v="0"/>
    <x v="0"/>
    <n v="4"/>
    <n v="5"/>
    <n v="4"/>
    <n v="4"/>
    <n v="4"/>
    <n v="4"/>
    <n v="3"/>
    <x v="0"/>
    <x v="0"/>
    <x v="0"/>
    <x v="0"/>
    <n v="3"/>
    <n v="4"/>
    <n v="4"/>
    <x v="0"/>
    <n v="3"/>
    <n v="2"/>
    <n v="2"/>
    <n v="2"/>
    <n v="2"/>
    <n v="2"/>
  </r>
  <r>
    <n v="2"/>
    <x v="0"/>
    <x v="0"/>
    <x v="1"/>
    <x v="1"/>
    <x v="1"/>
    <x v="0"/>
    <x v="1"/>
    <x v="1"/>
    <x v="1"/>
    <x v="0"/>
    <x v="1"/>
    <n v="5"/>
    <n v="5"/>
    <n v="5"/>
    <x v="0"/>
    <x v="0"/>
    <n v="6"/>
    <n v="4"/>
    <n v="7"/>
    <n v="7"/>
    <n v="7"/>
    <n v="7"/>
    <n v="7"/>
    <n v="6"/>
    <x v="1"/>
    <n v="5"/>
    <n v="5"/>
    <n v="4"/>
    <n v="5"/>
    <n v="4"/>
    <x v="0"/>
    <x v="1"/>
    <n v="5"/>
    <n v="5"/>
    <n v="4"/>
    <n v="4"/>
    <n v="4"/>
    <n v="4"/>
    <n v="5"/>
    <x v="1"/>
    <x v="0"/>
    <x v="0"/>
    <x v="1"/>
    <n v="1"/>
    <n v="2"/>
    <n v="1"/>
    <x v="0"/>
    <n v="1"/>
    <n v="1"/>
    <n v="1"/>
    <n v="2"/>
    <n v="1"/>
    <n v="1"/>
  </r>
  <r>
    <n v="3"/>
    <x v="1"/>
    <x v="0"/>
    <x v="0"/>
    <x v="2"/>
    <x v="1"/>
    <x v="1"/>
    <x v="0"/>
    <x v="0"/>
    <x v="2"/>
    <x v="1"/>
    <x v="2"/>
    <n v="3"/>
    <n v="4"/>
    <n v="3"/>
    <x v="1"/>
    <x v="1"/>
    <n v="3"/>
    <n v="3"/>
    <n v="3"/>
    <n v="3"/>
    <n v="3"/>
    <n v="3"/>
    <n v="3"/>
    <n v="3"/>
    <x v="2"/>
    <n v="3"/>
    <n v="4"/>
    <n v="3"/>
    <n v="3"/>
    <n v="3"/>
    <x v="1"/>
    <x v="2"/>
    <n v="3"/>
    <n v="3"/>
    <n v="3"/>
    <n v="3"/>
    <n v="3"/>
    <n v="3"/>
    <n v="3"/>
    <x v="2"/>
    <x v="0"/>
    <x v="1"/>
    <x v="2"/>
    <n v="2"/>
    <n v="3"/>
    <n v="3"/>
    <x v="0"/>
    <n v="3"/>
    <n v="2"/>
    <n v="3"/>
    <n v="3"/>
    <n v="2"/>
    <n v="3"/>
  </r>
  <r>
    <n v="4"/>
    <x v="2"/>
    <x v="1"/>
    <x v="2"/>
    <x v="2"/>
    <x v="2"/>
    <x v="0"/>
    <x v="0"/>
    <x v="2"/>
    <x v="3"/>
    <x v="1"/>
    <x v="3"/>
    <n v="3"/>
    <n v="2"/>
    <n v="3"/>
    <x v="2"/>
    <x v="2"/>
    <n v="1"/>
    <n v="2"/>
    <n v="2"/>
    <n v="1"/>
    <n v="3"/>
    <n v="2"/>
    <n v="1"/>
    <n v="2"/>
    <x v="3"/>
    <n v="1"/>
    <n v="2"/>
    <n v="3"/>
    <n v="2"/>
    <n v="3"/>
    <x v="2"/>
    <x v="3"/>
    <n v="2"/>
    <n v="1"/>
    <n v="2"/>
    <n v="1"/>
    <n v="2"/>
    <n v="2"/>
    <n v="2"/>
    <x v="3"/>
    <x v="0"/>
    <x v="0"/>
    <x v="3"/>
    <n v="2"/>
    <n v="1"/>
    <n v="2"/>
    <x v="0"/>
    <n v="2"/>
    <n v="1"/>
    <n v="2"/>
    <n v="2"/>
    <n v="2"/>
    <n v="1"/>
  </r>
  <r>
    <n v="5"/>
    <x v="0"/>
    <x v="1"/>
    <x v="0"/>
    <x v="3"/>
    <x v="2"/>
    <x v="1"/>
    <x v="0"/>
    <x v="1"/>
    <x v="3"/>
    <x v="1"/>
    <x v="1"/>
    <n v="5"/>
    <n v="5"/>
    <n v="5"/>
    <x v="2"/>
    <x v="1"/>
    <n v="7"/>
    <n v="6"/>
    <n v="7"/>
    <n v="7"/>
    <n v="6"/>
    <n v="6"/>
    <n v="6"/>
    <n v="7"/>
    <x v="4"/>
    <n v="5"/>
    <n v="5"/>
    <n v="5"/>
    <n v="5"/>
    <n v="5"/>
    <x v="3"/>
    <x v="4"/>
    <n v="5"/>
    <n v="5"/>
    <n v="5"/>
    <n v="5"/>
    <n v="5"/>
    <n v="5"/>
    <n v="5"/>
    <x v="4"/>
    <x v="0"/>
    <x v="2"/>
    <x v="1"/>
    <n v="5"/>
    <n v="1"/>
    <n v="1"/>
    <x v="1"/>
    <n v="1"/>
    <n v="1"/>
    <n v="2"/>
    <n v="2"/>
    <n v="2"/>
    <n v="2"/>
  </r>
  <r>
    <n v="6"/>
    <x v="3"/>
    <x v="1"/>
    <x v="1"/>
    <x v="4"/>
    <x v="0"/>
    <x v="2"/>
    <x v="0"/>
    <x v="1"/>
    <x v="2"/>
    <x v="1"/>
    <x v="1"/>
    <n v="5"/>
    <n v="5"/>
    <n v="5"/>
    <x v="3"/>
    <x v="3"/>
    <n v="7"/>
    <n v="7"/>
    <n v="7"/>
    <n v="7"/>
    <n v="7"/>
    <n v="7"/>
    <n v="7"/>
    <n v="7"/>
    <x v="5"/>
    <n v="5"/>
    <n v="5"/>
    <n v="5"/>
    <n v="5"/>
    <n v="5"/>
    <x v="3"/>
    <x v="5"/>
    <n v="5"/>
    <n v="5"/>
    <n v="5"/>
    <n v="5"/>
    <n v="5"/>
    <n v="5"/>
    <n v="5"/>
    <x v="5"/>
    <x v="0"/>
    <x v="2"/>
    <x v="0"/>
    <n v="1"/>
    <n v="1"/>
    <n v="1"/>
    <x v="1"/>
    <n v="1"/>
    <n v="1"/>
    <n v="1"/>
    <n v="1"/>
    <n v="1"/>
    <n v="1"/>
  </r>
  <r>
    <n v="7"/>
    <x v="3"/>
    <x v="0"/>
    <x v="1"/>
    <x v="1"/>
    <x v="1"/>
    <x v="2"/>
    <x v="2"/>
    <x v="1"/>
    <x v="0"/>
    <x v="1"/>
    <x v="1"/>
    <n v="5"/>
    <n v="5"/>
    <n v="5"/>
    <x v="4"/>
    <x v="3"/>
    <n v="7"/>
    <n v="7"/>
    <n v="7"/>
    <n v="7"/>
    <n v="7"/>
    <n v="7"/>
    <n v="7"/>
    <n v="7"/>
    <x v="6"/>
    <n v="5"/>
    <n v="5"/>
    <n v="5"/>
    <n v="5"/>
    <n v="5"/>
    <x v="4"/>
    <x v="3"/>
    <n v="5"/>
    <n v="5"/>
    <n v="5"/>
    <n v="5"/>
    <n v="5"/>
    <n v="5"/>
    <n v="5"/>
    <x v="6"/>
    <x v="0"/>
    <x v="2"/>
    <x v="4"/>
    <n v="1"/>
    <n v="1"/>
    <n v="1"/>
    <x v="1"/>
    <n v="1"/>
    <n v="1"/>
    <n v="1"/>
    <n v="1"/>
    <n v="1"/>
    <n v="1"/>
  </r>
  <r>
    <n v="8"/>
    <x v="1"/>
    <x v="0"/>
    <x v="0"/>
    <x v="2"/>
    <x v="1"/>
    <x v="0"/>
    <x v="0"/>
    <x v="0"/>
    <x v="0"/>
    <x v="1"/>
    <x v="0"/>
    <n v="4"/>
    <n v="4"/>
    <n v="4"/>
    <x v="5"/>
    <x v="0"/>
    <n v="3"/>
    <n v="3"/>
    <n v="3"/>
    <n v="3"/>
    <n v="3"/>
    <n v="3"/>
    <n v="3"/>
    <n v="3"/>
    <x v="1"/>
    <n v="3"/>
    <n v="3"/>
    <n v="3"/>
    <n v="3"/>
    <n v="4"/>
    <x v="4"/>
    <x v="2"/>
    <n v="3"/>
    <n v="3"/>
    <n v="3"/>
    <n v="3"/>
    <n v="3"/>
    <n v="3"/>
    <n v="3"/>
    <x v="7"/>
    <x v="1"/>
    <x v="1"/>
    <x v="1"/>
    <n v="1"/>
    <n v="1"/>
    <n v="2"/>
    <x v="0"/>
    <n v="2"/>
    <n v="2"/>
    <n v="1"/>
    <n v="2"/>
    <n v="3"/>
    <n v="1"/>
  </r>
  <r>
    <n v="9"/>
    <x v="1"/>
    <x v="0"/>
    <x v="1"/>
    <x v="2"/>
    <x v="1"/>
    <x v="3"/>
    <x v="2"/>
    <x v="0"/>
    <x v="3"/>
    <x v="1"/>
    <x v="2"/>
    <n v="3"/>
    <n v="3"/>
    <n v="3"/>
    <x v="5"/>
    <x v="0"/>
    <n v="3"/>
    <n v="3"/>
    <n v="3"/>
    <n v="2"/>
    <n v="1"/>
    <n v="2"/>
    <n v="1"/>
    <n v="3"/>
    <x v="7"/>
    <n v="3"/>
    <n v="3"/>
    <n v="3"/>
    <n v="3"/>
    <n v="3"/>
    <x v="3"/>
    <x v="6"/>
    <n v="5"/>
    <n v="5"/>
    <n v="5"/>
    <n v="3"/>
    <n v="3"/>
    <n v="3"/>
    <n v="2"/>
    <x v="8"/>
    <x v="2"/>
    <x v="2"/>
    <x v="5"/>
    <n v="4"/>
    <n v="5"/>
    <n v="3"/>
    <x v="2"/>
    <n v="3"/>
    <n v="2"/>
    <n v="2"/>
    <n v="4"/>
    <n v="2"/>
    <n v="4"/>
  </r>
  <r>
    <n v="10"/>
    <x v="1"/>
    <x v="0"/>
    <x v="1"/>
    <x v="2"/>
    <x v="2"/>
    <x v="0"/>
    <x v="0"/>
    <x v="2"/>
    <x v="2"/>
    <x v="1"/>
    <x v="1"/>
    <n v="5"/>
    <n v="4"/>
    <n v="5"/>
    <x v="2"/>
    <x v="0"/>
    <n v="6"/>
    <n v="7"/>
    <n v="5"/>
    <n v="4"/>
    <n v="6"/>
    <n v="5"/>
    <n v="6"/>
    <n v="7"/>
    <x v="8"/>
    <n v="5"/>
    <n v="4"/>
    <n v="5"/>
    <n v="4"/>
    <n v="4"/>
    <x v="5"/>
    <x v="6"/>
    <n v="4"/>
    <n v="4"/>
    <n v="3"/>
    <n v="3"/>
    <n v="4"/>
    <n v="4"/>
    <n v="4"/>
    <x v="4"/>
    <x v="0"/>
    <x v="1"/>
    <x v="6"/>
    <n v="3"/>
    <n v="3"/>
    <n v="1"/>
    <x v="0"/>
    <n v="1"/>
    <n v="1"/>
    <n v="1"/>
    <n v="1"/>
    <n v="2"/>
    <n v="1"/>
  </r>
  <r>
    <n v="11"/>
    <x v="2"/>
    <x v="0"/>
    <x v="1"/>
    <x v="2"/>
    <x v="1"/>
    <x v="0"/>
    <x v="2"/>
    <x v="2"/>
    <x v="2"/>
    <x v="1"/>
    <x v="2"/>
    <n v="3"/>
    <n v="4"/>
    <n v="4"/>
    <x v="0"/>
    <x v="0"/>
    <n v="5"/>
    <n v="6"/>
    <n v="5"/>
    <n v="7"/>
    <n v="7"/>
    <n v="7"/>
    <n v="2"/>
    <n v="3"/>
    <x v="9"/>
    <n v="5"/>
    <n v="5"/>
    <n v="5"/>
    <n v="3"/>
    <n v="4"/>
    <x v="0"/>
    <x v="6"/>
    <n v="4"/>
    <n v="3"/>
    <n v="5"/>
    <n v="5"/>
    <n v="5"/>
    <n v="5"/>
    <n v="3"/>
    <x v="9"/>
    <x v="1"/>
    <x v="2"/>
    <x v="7"/>
    <n v="1"/>
    <n v="2"/>
    <n v="2"/>
    <x v="1"/>
    <n v="1"/>
    <n v="1"/>
    <n v="1"/>
    <n v="1"/>
    <n v="2"/>
    <n v="2"/>
  </r>
  <r>
    <n v="12"/>
    <x v="2"/>
    <x v="0"/>
    <x v="1"/>
    <x v="5"/>
    <x v="1"/>
    <x v="0"/>
    <x v="0"/>
    <x v="0"/>
    <x v="2"/>
    <x v="1"/>
    <x v="2"/>
    <n v="4"/>
    <n v="4"/>
    <n v="5"/>
    <x v="2"/>
    <x v="2"/>
    <n v="5"/>
    <n v="6"/>
    <n v="6"/>
    <n v="7"/>
    <n v="2"/>
    <n v="3"/>
    <n v="4"/>
    <n v="5"/>
    <x v="10"/>
    <n v="5"/>
    <n v="3"/>
    <n v="4"/>
    <n v="2"/>
    <n v="3"/>
    <x v="5"/>
    <x v="6"/>
    <n v="2"/>
    <n v="2"/>
    <n v="5"/>
    <n v="4"/>
    <n v="2"/>
    <n v="5"/>
    <n v="4"/>
    <x v="10"/>
    <x v="1"/>
    <x v="2"/>
    <x v="8"/>
    <n v="3"/>
    <n v="1"/>
    <n v="3"/>
    <x v="0"/>
    <n v="3"/>
    <n v="1"/>
    <n v="1"/>
    <n v="3"/>
    <n v="2"/>
    <n v="4"/>
  </r>
  <r>
    <n v="13"/>
    <x v="2"/>
    <x v="0"/>
    <x v="0"/>
    <x v="2"/>
    <x v="1"/>
    <x v="0"/>
    <x v="1"/>
    <x v="2"/>
    <x v="3"/>
    <x v="2"/>
    <x v="0"/>
    <n v="2"/>
    <n v="4"/>
    <n v="4"/>
    <x v="1"/>
    <x v="1"/>
    <n v="7"/>
    <n v="5"/>
    <n v="3"/>
    <n v="5"/>
    <n v="5"/>
    <n v="5"/>
    <n v="2"/>
    <n v="2"/>
    <x v="11"/>
    <n v="5"/>
    <n v="4"/>
    <n v="4"/>
    <n v="4"/>
    <n v="4"/>
    <x v="0"/>
    <x v="6"/>
    <n v="5"/>
    <n v="3"/>
    <n v="4"/>
    <n v="4"/>
    <n v="3"/>
    <n v="3"/>
    <n v="4"/>
    <x v="11"/>
    <x v="2"/>
    <x v="1"/>
    <x v="8"/>
    <n v="3"/>
    <n v="3"/>
    <n v="5"/>
    <x v="2"/>
    <n v="3"/>
    <n v="5"/>
    <n v="5"/>
    <n v="2"/>
    <n v="4"/>
    <n v="4"/>
  </r>
  <r>
    <n v="14"/>
    <x v="1"/>
    <x v="1"/>
    <x v="0"/>
    <x v="2"/>
    <x v="3"/>
    <x v="0"/>
    <x v="1"/>
    <x v="0"/>
    <x v="3"/>
    <x v="1"/>
    <x v="2"/>
    <n v="3"/>
    <n v="4"/>
    <n v="4"/>
    <x v="0"/>
    <x v="1"/>
    <n v="6"/>
    <n v="6"/>
    <n v="7"/>
    <n v="4"/>
    <n v="4"/>
    <n v="4"/>
    <n v="5"/>
    <n v="4"/>
    <x v="12"/>
    <n v="4"/>
    <n v="5"/>
    <n v="5"/>
    <n v="4"/>
    <n v="5"/>
    <x v="3"/>
    <x v="6"/>
    <n v="4"/>
    <n v="5"/>
    <n v="3"/>
    <n v="4"/>
    <n v="3"/>
    <n v="4"/>
    <n v="3"/>
    <x v="12"/>
    <x v="0"/>
    <x v="2"/>
    <x v="9"/>
    <n v="3"/>
    <n v="3"/>
    <n v="1"/>
    <x v="0"/>
    <n v="2"/>
    <n v="2"/>
    <n v="4"/>
    <n v="2"/>
    <n v="3"/>
    <n v="4"/>
  </r>
  <r>
    <n v="15"/>
    <x v="2"/>
    <x v="0"/>
    <x v="3"/>
    <x v="6"/>
    <x v="1"/>
    <x v="0"/>
    <x v="0"/>
    <x v="3"/>
    <x v="2"/>
    <x v="3"/>
    <x v="2"/>
    <n v="4"/>
    <n v="5"/>
    <n v="5"/>
    <x v="2"/>
    <x v="0"/>
    <n v="6"/>
    <n v="7"/>
    <n v="6"/>
    <n v="7"/>
    <n v="7"/>
    <n v="6"/>
    <n v="5"/>
    <n v="6"/>
    <x v="1"/>
    <n v="4"/>
    <n v="5"/>
    <n v="4"/>
    <n v="5"/>
    <n v="5"/>
    <x v="3"/>
    <x v="7"/>
    <n v="4"/>
    <n v="5"/>
    <n v="5"/>
    <n v="4"/>
    <n v="5"/>
    <n v="5"/>
    <n v="5"/>
    <x v="13"/>
    <x v="2"/>
    <x v="1"/>
    <x v="8"/>
    <n v="5"/>
    <n v="4"/>
    <n v="4"/>
    <x v="3"/>
    <n v="5"/>
    <n v="4"/>
    <n v="5"/>
    <n v="4"/>
    <n v="5"/>
    <n v="4"/>
  </r>
  <r>
    <n v="16"/>
    <x v="0"/>
    <x v="0"/>
    <x v="0"/>
    <x v="7"/>
    <x v="0"/>
    <x v="0"/>
    <x v="2"/>
    <x v="2"/>
    <x v="2"/>
    <x v="0"/>
    <x v="1"/>
    <n v="5"/>
    <n v="3"/>
    <n v="4"/>
    <x v="2"/>
    <x v="0"/>
    <n v="4"/>
    <n v="6"/>
    <n v="3"/>
    <n v="2"/>
    <n v="2"/>
    <n v="5"/>
    <n v="2"/>
    <n v="2"/>
    <x v="13"/>
    <n v="5"/>
    <n v="5"/>
    <n v="5"/>
    <n v="4"/>
    <n v="5"/>
    <x v="2"/>
    <x v="6"/>
    <n v="5"/>
    <n v="4"/>
    <n v="3"/>
    <n v="5"/>
    <n v="5"/>
    <n v="2"/>
    <n v="5"/>
    <x v="14"/>
    <x v="0"/>
    <x v="0"/>
    <x v="6"/>
    <n v="1"/>
    <n v="1"/>
    <n v="3"/>
    <x v="3"/>
    <n v="1"/>
    <n v="1"/>
    <n v="1"/>
    <n v="1"/>
    <n v="1"/>
    <n v="2"/>
  </r>
  <r>
    <n v="17"/>
    <x v="2"/>
    <x v="0"/>
    <x v="1"/>
    <x v="5"/>
    <x v="1"/>
    <x v="0"/>
    <x v="1"/>
    <x v="2"/>
    <x v="2"/>
    <x v="0"/>
    <x v="4"/>
    <n v="2"/>
    <n v="3"/>
    <n v="3"/>
    <x v="0"/>
    <x v="2"/>
    <n v="3"/>
    <n v="2"/>
    <n v="2"/>
    <n v="3"/>
    <n v="3"/>
    <n v="3"/>
    <n v="2"/>
    <n v="2"/>
    <x v="14"/>
    <n v="3"/>
    <n v="2"/>
    <n v="2"/>
    <n v="1"/>
    <n v="2"/>
    <x v="3"/>
    <x v="6"/>
    <n v="3"/>
    <n v="1"/>
    <n v="2"/>
    <n v="3"/>
    <n v="2"/>
    <n v="1"/>
    <n v="1"/>
    <x v="15"/>
    <x v="2"/>
    <x v="3"/>
    <x v="2"/>
    <n v="1"/>
    <n v="1"/>
    <n v="5"/>
    <x v="4"/>
    <n v="3"/>
    <n v="2"/>
    <n v="4"/>
    <n v="3"/>
    <n v="1"/>
    <n v="2"/>
  </r>
  <r>
    <n v="18"/>
    <x v="2"/>
    <x v="0"/>
    <x v="1"/>
    <x v="5"/>
    <x v="1"/>
    <x v="0"/>
    <x v="0"/>
    <x v="2"/>
    <x v="2"/>
    <x v="3"/>
    <x v="1"/>
    <n v="5"/>
    <n v="5"/>
    <n v="5"/>
    <x v="1"/>
    <x v="0"/>
    <n v="4"/>
    <n v="7"/>
    <n v="7"/>
    <n v="5"/>
    <n v="4"/>
    <n v="6"/>
    <n v="3"/>
    <n v="3"/>
    <x v="15"/>
    <n v="5"/>
    <n v="4"/>
    <n v="4"/>
    <n v="5"/>
    <n v="4"/>
    <x v="2"/>
    <x v="0"/>
    <n v="4"/>
    <n v="4"/>
    <n v="4"/>
    <n v="5"/>
    <n v="3"/>
    <n v="5"/>
    <n v="2"/>
    <x v="16"/>
    <x v="0"/>
    <x v="3"/>
    <x v="10"/>
    <n v="3"/>
    <n v="5"/>
    <n v="4"/>
    <x v="2"/>
    <n v="3"/>
    <n v="2"/>
    <n v="3"/>
    <n v="5"/>
    <n v="5"/>
    <n v="3"/>
  </r>
  <r>
    <n v="19"/>
    <x v="0"/>
    <x v="0"/>
    <x v="1"/>
    <x v="1"/>
    <x v="1"/>
    <x v="0"/>
    <x v="1"/>
    <x v="3"/>
    <x v="2"/>
    <x v="1"/>
    <x v="1"/>
    <n v="4"/>
    <n v="5"/>
    <n v="4"/>
    <x v="0"/>
    <x v="0"/>
    <n v="6"/>
    <n v="5"/>
    <n v="6"/>
    <n v="6"/>
    <n v="6"/>
    <n v="6"/>
    <n v="6"/>
    <n v="6"/>
    <x v="16"/>
    <n v="5"/>
    <n v="5"/>
    <n v="4"/>
    <n v="5"/>
    <n v="4"/>
    <x v="3"/>
    <x v="6"/>
    <n v="4"/>
    <n v="4"/>
    <n v="4"/>
    <n v="4"/>
    <n v="4"/>
    <n v="3"/>
    <n v="4"/>
    <x v="17"/>
    <x v="1"/>
    <x v="1"/>
    <x v="8"/>
    <n v="3"/>
    <n v="3"/>
    <n v="2"/>
    <x v="0"/>
    <n v="3"/>
    <n v="2"/>
    <n v="2"/>
    <n v="2"/>
    <n v="3"/>
    <n v="3"/>
  </r>
  <r>
    <n v="20"/>
    <x v="2"/>
    <x v="0"/>
    <x v="0"/>
    <x v="5"/>
    <x v="1"/>
    <x v="0"/>
    <x v="1"/>
    <x v="0"/>
    <x v="2"/>
    <x v="1"/>
    <x v="2"/>
    <n v="4"/>
    <n v="4"/>
    <n v="5"/>
    <x v="1"/>
    <x v="0"/>
    <n v="7"/>
    <n v="7"/>
    <n v="7"/>
    <n v="7"/>
    <n v="7"/>
    <n v="3"/>
    <n v="2"/>
    <n v="2"/>
    <x v="16"/>
    <n v="5"/>
    <n v="5"/>
    <n v="5"/>
    <n v="2"/>
    <n v="3"/>
    <x v="0"/>
    <x v="6"/>
    <n v="5"/>
    <n v="1"/>
    <n v="4"/>
    <n v="4"/>
    <n v="1"/>
    <n v="5"/>
    <n v="5"/>
    <x v="18"/>
    <x v="3"/>
    <x v="3"/>
    <x v="11"/>
    <n v="5"/>
    <n v="5"/>
    <n v="1"/>
    <x v="1"/>
    <n v="5"/>
    <n v="5"/>
    <n v="1"/>
    <n v="1"/>
    <n v="5"/>
    <n v="5"/>
  </r>
  <r>
    <n v="21"/>
    <x v="2"/>
    <x v="0"/>
    <x v="1"/>
    <x v="2"/>
    <x v="1"/>
    <x v="0"/>
    <x v="1"/>
    <x v="2"/>
    <x v="2"/>
    <x v="2"/>
    <x v="3"/>
    <n v="1"/>
    <n v="5"/>
    <n v="5"/>
    <x v="0"/>
    <x v="0"/>
    <n v="3"/>
    <n v="6"/>
    <n v="1"/>
    <n v="1"/>
    <n v="1"/>
    <n v="1"/>
    <n v="1"/>
    <n v="1"/>
    <x v="17"/>
    <n v="1"/>
    <n v="2"/>
    <n v="2"/>
    <n v="1"/>
    <n v="1"/>
    <x v="5"/>
    <x v="1"/>
    <n v="1"/>
    <n v="1"/>
    <n v="1"/>
    <n v="1"/>
    <n v="1"/>
    <n v="1"/>
    <n v="1"/>
    <x v="19"/>
    <x v="3"/>
    <x v="3"/>
    <x v="11"/>
    <n v="5"/>
    <n v="5"/>
    <n v="5"/>
    <x v="4"/>
    <n v="5"/>
    <n v="5"/>
    <n v="5"/>
    <n v="1"/>
    <n v="1"/>
    <n v="5"/>
  </r>
  <r>
    <n v="22"/>
    <x v="4"/>
    <x v="0"/>
    <x v="1"/>
    <x v="2"/>
    <x v="2"/>
    <x v="3"/>
    <x v="0"/>
    <x v="1"/>
    <x v="3"/>
    <x v="0"/>
    <x v="2"/>
    <n v="3"/>
    <n v="3"/>
    <n v="4"/>
    <x v="0"/>
    <x v="1"/>
    <n v="7"/>
    <n v="7"/>
    <n v="6"/>
    <n v="7"/>
    <n v="6"/>
    <n v="7"/>
    <n v="7"/>
    <n v="7"/>
    <x v="18"/>
    <n v="4"/>
    <n v="3"/>
    <n v="5"/>
    <n v="3"/>
    <n v="2"/>
    <x v="4"/>
    <x v="8"/>
    <n v="5"/>
    <n v="4"/>
    <n v="5"/>
    <n v="1"/>
    <n v="3"/>
    <n v="4"/>
    <n v="5"/>
    <x v="20"/>
    <x v="4"/>
    <x v="1"/>
    <x v="12"/>
    <n v="3"/>
    <n v="5"/>
    <n v="1"/>
    <x v="2"/>
    <n v="4"/>
    <n v="2"/>
    <n v="5"/>
    <n v="5"/>
    <n v="5"/>
    <n v="2"/>
  </r>
  <r>
    <n v="23"/>
    <x v="5"/>
    <x v="0"/>
    <x v="1"/>
    <x v="2"/>
    <x v="3"/>
    <x v="0"/>
    <x v="0"/>
    <x v="0"/>
    <x v="0"/>
    <x v="1"/>
    <x v="1"/>
    <n v="5"/>
    <n v="5"/>
    <n v="5"/>
    <x v="6"/>
    <x v="3"/>
    <n v="6"/>
    <n v="4"/>
    <n v="5"/>
    <n v="5"/>
    <n v="7"/>
    <n v="7"/>
    <n v="7"/>
    <n v="6"/>
    <x v="19"/>
    <n v="5"/>
    <n v="5"/>
    <n v="5"/>
    <n v="5"/>
    <n v="5"/>
    <x v="6"/>
    <x v="9"/>
    <n v="5"/>
    <n v="5"/>
    <n v="5"/>
    <n v="5"/>
    <n v="5"/>
    <n v="5"/>
    <n v="5"/>
    <x v="21"/>
    <x v="0"/>
    <x v="1"/>
    <x v="5"/>
    <n v="3"/>
    <n v="3"/>
    <n v="2"/>
    <x v="2"/>
    <n v="2"/>
    <n v="1"/>
    <n v="1"/>
    <n v="1"/>
    <n v="1"/>
    <n v="2"/>
  </r>
  <r>
    <n v="24"/>
    <x v="6"/>
    <x v="0"/>
    <x v="1"/>
    <x v="1"/>
    <x v="2"/>
    <x v="1"/>
    <x v="1"/>
    <x v="0"/>
    <x v="3"/>
    <x v="1"/>
    <x v="0"/>
    <n v="2"/>
    <n v="2"/>
    <n v="4"/>
    <x v="2"/>
    <x v="1"/>
    <n v="4"/>
    <n v="4"/>
    <n v="4"/>
    <n v="4"/>
    <n v="4"/>
    <n v="4"/>
    <n v="4"/>
    <n v="4"/>
    <x v="2"/>
    <n v="2"/>
    <n v="2"/>
    <n v="4"/>
    <n v="4"/>
    <n v="2"/>
    <x v="0"/>
    <x v="10"/>
    <n v="3"/>
    <n v="4"/>
    <n v="4"/>
    <n v="5"/>
    <n v="4"/>
    <n v="4"/>
    <n v="4"/>
    <x v="22"/>
    <x v="4"/>
    <x v="1"/>
    <x v="4"/>
    <n v="3"/>
    <n v="3"/>
    <n v="3"/>
    <x v="2"/>
    <n v="3"/>
    <n v="3"/>
    <n v="3"/>
    <n v="3"/>
    <n v="3"/>
    <n v="3"/>
  </r>
  <r>
    <n v="25"/>
    <x v="7"/>
    <x v="0"/>
    <x v="3"/>
    <x v="2"/>
    <x v="0"/>
    <x v="1"/>
    <x v="3"/>
    <x v="0"/>
    <x v="2"/>
    <x v="3"/>
    <x v="0"/>
    <n v="5"/>
    <n v="3"/>
    <n v="4"/>
    <x v="0"/>
    <x v="1"/>
    <n v="5"/>
    <n v="3"/>
    <n v="5"/>
    <n v="4"/>
    <n v="4"/>
    <n v="3"/>
    <n v="5"/>
    <n v="6"/>
    <x v="20"/>
    <n v="3"/>
    <n v="4"/>
    <n v="3"/>
    <n v="4"/>
    <n v="2"/>
    <x v="1"/>
    <x v="11"/>
    <n v="4"/>
    <n v="4"/>
    <n v="4"/>
    <n v="3"/>
    <n v="4"/>
    <n v="4"/>
    <n v="3"/>
    <x v="23"/>
    <x v="0"/>
    <x v="1"/>
    <x v="9"/>
    <n v="3"/>
    <n v="4"/>
    <n v="4"/>
    <x v="2"/>
    <n v="3"/>
    <n v="3"/>
    <n v="4"/>
    <n v="3"/>
    <n v="4"/>
    <n v="3"/>
  </r>
  <r>
    <n v="26"/>
    <x v="6"/>
    <x v="0"/>
    <x v="1"/>
    <x v="2"/>
    <x v="2"/>
    <x v="0"/>
    <x v="0"/>
    <x v="0"/>
    <x v="2"/>
    <x v="1"/>
    <x v="1"/>
    <n v="4"/>
    <n v="4"/>
    <n v="5"/>
    <x v="2"/>
    <x v="4"/>
    <n v="7"/>
    <n v="4"/>
    <n v="5"/>
    <n v="5"/>
    <n v="6"/>
    <n v="6"/>
    <n v="6"/>
    <n v="6"/>
    <x v="21"/>
    <n v="5"/>
    <n v="5"/>
    <n v="5"/>
    <n v="5"/>
    <n v="5"/>
    <x v="5"/>
    <x v="12"/>
    <n v="5"/>
    <n v="5"/>
    <n v="5"/>
    <n v="5"/>
    <n v="5"/>
    <n v="5"/>
    <n v="5"/>
    <x v="24"/>
    <x v="0"/>
    <x v="2"/>
    <x v="13"/>
    <n v="1"/>
    <n v="1"/>
    <n v="2"/>
    <x v="1"/>
    <n v="1"/>
    <n v="2"/>
    <n v="2"/>
    <n v="2"/>
    <n v="2"/>
    <n v="2"/>
  </r>
  <r>
    <n v="27"/>
    <x v="5"/>
    <x v="1"/>
    <x v="1"/>
    <x v="1"/>
    <x v="3"/>
    <x v="0"/>
    <x v="0"/>
    <x v="2"/>
    <x v="1"/>
    <x v="2"/>
    <x v="3"/>
    <n v="2"/>
    <n v="1"/>
    <n v="2"/>
    <x v="2"/>
    <x v="2"/>
    <n v="1"/>
    <n v="2"/>
    <n v="1"/>
    <n v="2"/>
    <n v="1"/>
    <n v="2"/>
    <n v="1"/>
    <n v="2"/>
    <x v="22"/>
    <n v="5"/>
    <n v="1"/>
    <n v="1"/>
    <n v="2"/>
    <n v="1"/>
    <x v="3"/>
    <x v="1"/>
    <n v="2"/>
    <n v="2"/>
    <n v="1"/>
    <n v="2"/>
    <n v="1"/>
    <n v="2"/>
    <n v="1"/>
    <x v="25"/>
    <x v="0"/>
    <x v="0"/>
    <x v="8"/>
    <n v="2"/>
    <n v="1"/>
    <n v="2"/>
    <x v="1"/>
    <n v="2"/>
    <n v="1"/>
    <n v="2"/>
    <n v="1"/>
    <n v="2"/>
    <n v="1"/>
  </r>
  <r>
    <n v="28"/>
    <x v="7"/>
    <x v="0"/>
    <x v="1"/>
    <x v="2"/>
    <x v="3"/>
    <x v="0"/>
    <x v="1"/>
    <x v="2"/>
    <x v="3"/>
    <x v="1"/>
    <x v="3"/>
    <n v="2"/>
    <n v="1"/>
    <n v="2"/>
    <x v="0"/>
    <x v="2"/>
    <n v="1"/>
    <n v="2"/>
    <n v="1"/>
    <n v="2"/>
    <n v="1"/>
    <n v="2"/>
    <n v="1"/>
    <n v="2"/>
    <x v="22"/>
    <n v="1"/>
    <n v="1"/>
    <n v="2"/>
    <n v="1"/>
    <n v="2"/>
    <x v="3"/>
    <x v="13"/>
    <n v="2"/>
    <n v="1"/>
    <n v="2"/>
    <n v="1"/>
    <n v="2"/>
    <n v="1"/>
    <n v="1"/>
    <x v="25"/>
    <x v="3"/>
    <x v="0"/>
    <x v="8"/>
    <n v="1"/>
    <n v="1"/>
    <n v="2"/>
    <x v="1"/>
    <n v="1"/>
    <n v="2"/>
    <n v="1"/>
    <n v="2"/>
    <n v="1"/>
    <n v="2"/>
  </r>
  <r>
    <n v="29"/>
    <x v="5"/>
    <x v="1"/>
    <x v="3"/>
    <x v="1"/>
    <x v="0"/>
    <x v="2"/>
    <x v="0"/>
    <x v="0"/>
    <x v="0"/>
    <x v="1"/>
    <x v="3"/>
    <n v="2"/>
    <n v="1"/>
    <n v="2"/>
    <x v="1"/>
    <x v="2"/>
    <n v="1"/>
    <n v="2"/>
    <n v="1"/>
    <n v="2"/>
    <n v="1"/>
    <n v="2"/>
    <n v="1"/>
    <n v="1"/>
    <x v="22"/>
    <n v="1"/>
    <n v="1"/>
    <n v="2"/>
    <n v="1"/>
    <n v="2"/>
    <x v="0"/>
    <x v="13"/>
    <n v="2"/>
    <n v="1"/>
    <n v="2"/>
    <n v="1"/>
    <n v="1"/>
    <n v="2"/>
    <n v="2"/>
    <x v="1"/>
    <x v="1"/>
    <x v="0"/>
    <x v="1"/>
    <n v="1"/>
    <n v="1"/>
    <n v="2"/>
    <x v="1"/>
    <n v="2"/>
    <n v="2"/>
    <n v="1"/>
    <n v="2"/>
    <n v="1"/>
    <n v="2"/>
  </r>
  <r>
    <n v="30"/>
    <x v="6"/>
    <x v="0"/>
    <x v="3"/>
    <x v="2"/>
    <x v="2"/>
    <x v="0"/>
    <x v="0"/>
    <x v="2"/>
    <x v="0"/>
    <x v="1"/>
    <x v="1"/>
    <n v="4"/>
    <n v="5"/>
    <n v="5"/>
    <x v="0"/>
    <x v="2"/>
    <n v="6"/>
    <n v="6"/>
    <n v="7"/>
    <n v="7"/>
    <n v="7"/>
    <n v="6"/>
    <n v="7"/>
    <n v="7"/>
    <x v="23"/>
    <n v="3"/>
    <n v="3"/>
    <n v="3"/>
    <n v="2"/>
    <n v="3"/>
    <x v="4"/>
    <x v="8"/>
    <n v="5"/>
    <n v="5"/>
    <n v="5"/>
    <n v="5"/>
    <n v="5"/>
    <n v="5"/>
    <n v="5"/>
    <x v="26"/>
    <x v="0"/>
    <x v="0"/>
    <x v="1"/>
    <n v="1"/>
    <n v="1"/>
    <n v="1"/>
    <x v="1"/>
    <n v="1"/>
    <n v="1"/>
    <n v="1"/>
    <n v="1"/>
    <n v="1"/>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0">
  <r>
    <n v="1"/>
    <s v="35-44"/>
    <s v="Male"/>
    <s v="Master's Degree"/>
    <x v="0"/>
    <s v="3-5 years"/>
    <n v="4"/>
    <n v="4"/>
    <n v="5"/>
    <n v="5"/>
    <n v="6"/>
    <n v="6"/>
    <n v="5"/>
    <n v="5"/>
    <n v="4"/>
    <n v="4"/>
    <n v="5"/>
    <n v="4"/>
    <n v="5"/>
    <n v="4"/>
    <n v="4"/>
    <n v="5"/>
    <n v="4"/>
    <n v="4"/>
    <n v="5"/>
    <n v="4"/>
    <n v="4"/>
    <n v="4"/>
    <n v="4"/>
    <n v="3"/>
    <n v="3"/>
    <n v="4"/>
    <n v="4"/>
    <n v="2"/>
    <n v="3"/>
    <n v="2"/>
    <n v="2"/>
    <n v="2"/>
    <n v="2"/>
    <n v="2"/>
    <x v="0"/>
    <x v="0"/>
  </r>
  <r>
    <n v="1"/>
    <s v="35-44"/>
    <s v="Male"/>
    <s v="Master's Degree"/>
    <x v="0"/>
    <s v="3-5 years"/>
    <n v="4"/>
    <n v="4"/>
    <n v="5"/>
    <n v="5"/>
    <n v="6"/>
    <n v="6"/>
    <n v="5"/>
    <n v="5"/>
    <n v="4"/>
    <n v="4"/>
    <n v="5"/>
    <n v="4"/>
    <n v="5"/>
    <n v="4"/>
    <n v="4"/>
    <n v="5"/>
    <n v="4"/>
    <n v="4"/>
    <n v="5"/>
    <n v="4"/>
    <n v="4"/>
    <n v="4"/>
    <n v="4"/>
    <n v="3"/>
    <n v="3"/>
    <n v="4"/>
    <n v="4"/>
    <n v="2"/>
    <n v="3"/>
    <n v="2"/>
    <n v="2"/>
    <n v="2"/>
    <n v="2"/>
    <n v="2"/>
    <x v="1"/>
    <x v="1"/>
  </r>
  <r>
    <n v="1"/>
    <s v="35-44"/>
    <s v="Male"/>
    <s v="Master's Degree"/>
    <x v="0"/>
    <s v="3-5 years"/>
    <n v="4"/>
    <n v="4"/>
    <n v="5"/>
    <n v="5"/>
    <n v="6"/>
    <n v="6"/>
    <n v="5"/>
    <n v="5"/>
    <n v="4"/>
    <n v="4"/>
    <n v="5"/>
    <n v="4"/>
    <n v="5"/>
    <n v="4"/>
    <n v="4"/>
    <n v="5"/>
    <n v="4"/>
    <n v="4"/>
    <n v="5"/>
    <n v="4"/>
    <n v="4"/>
    <n v="4"/>
    <n v="4"/>
    <n v="3"/>
    <n v="3"/>
    <n v="4"/>
    <n v="4"/>
    <n v="2"/>
    <n v="3"/>
    <n v="2"/>
    <n v="2"/>
    <n v="2"/>
    <n v="2"/>
    <n v="2"/>
    <x v="2"/>
    <x v="2"/>
  </r>
  <r>
    <n v="1"/>
    <s v="35-44"/>
    <s v="Male"/>
    <s v="Master's Degree"/>
    <x v="0"/>
    <s v="3-5 years"/>
    <n v="4"/>
    <n v="4"/>
    <n v="5"/>
    <n v="5"/>
    <n v="6"/>
    <n v="6"/>
    <n v="5"/>
    <n v="5"/>
    <n v="4"/>
    <n v="4"/>
    <n v="5"/>
    <n v="4"/>
    <n v="5"/>
    <n v="4"/>
    <n v="4"/>
    <n v="5"/>
    <n v="4"/>
    <n v="4"/>
    <n v="5"/>
    <n v="4"/>
    <n v="4"/>
    <n v="4"/>
    <n v="4"/>
    <n v="3"/>
    <n v="3"/>
    <n v="4"/>
    <n v="4"/>
    <n v="2"/>
    <n v="3"/>
    <n v="2"/>
    <n v="2"/>
    <n v="2"/>
    <n v="2"/>
    <n v="2"/>
    <x v="3"/>
    <x v="3"/>
  </r>
  <r>
    <n v="1"/>
    <s v="35-44"/>
    <s v="Male"/>
    <s v="Master's Degree"/>
    <x v="0"/>
    <s v="3-5 years"/>
    <n v="4"/>
    <n v="4"/>
    <n v="5"/>
    <n v="5"/>
    <n v="6"/>
    <n v="6"/>
    <n v="5"/>
    <n v="5"/>
    <n v="4"/>
    <n v="4"/>
    <n v="5"/>
    <n v="4"/>
    <n v="5"/>
    <n v="4"/>
    <n v="4"/>
    <n v="5"/>
    <n v="4"/>
    <n v="4"/>
    <n v="5"/>
    <n v="4"/>
    <n v="4"/>
    <n v="4"/>
    <n v="4"/>
    <n v="3"/>
    <n v="3"/>
    <n v="4"/>
    <n v="4"/>
    <n v="2"/>
    <n v="3"/>
    <n v="2"/>
    <n v="2"/>
    <n v="2"/>
    <n v="2"/>
    <n v="2"/>
    <x v="4"/>
    <x v="4"/>
  </r>
  <r>
    <n v="1"/>
    <s v="35-44"/>
    <s v="Male"/>
    <s v="Master's Degree"/>
    <x v="0"/>
    <s v="3-5 years"/>
    <n v="4"/>
    <n v="4"/>
    <n v="5"/>
    <n v="5"/>
    <n v="6"/>
    <n v="6"/>
    <n v="5"/>
    <n v="5"/>
    <n v="4"/>
    <n v="4"/>
    <n v="5"/>
    <n v="4"/>
    <n v="5"/>
    <n v="4"/>
    <n v="4"/>
    <n v="5"/>
    <n v="4"/>
    <n v="4"/>
    <n v="5"/>
    <n v="4"/>
    <n v="4"/>
    <n v="4"/>
    <n v="4"/>
    <n v="3"/>
    <n v="3"/>
    <n v="4"/>
    <n v="4"/>
    <n v="2"/>
    <n v="3"/>
    <n v="2"/>
    <n v="2"/>
    <n v="2"/>
    <n v="2"/>
    <n v="2"/>
    <x v="5"/>
    <x v="5"/>
  </r>
  <r>
    <n v="1"/>
    <s v="35-44"/>
    <s v="Male"/>
    <s v="Master's Degree"/>
    <x v="0"/>
    <s v="3-5 years"/>
    <n v="4"/>
    <n v="4"/>
    <n v="5"/>
    <n v="5"/>
    <n v="6"/>
    <n v="6"/>
    <n v="5"/>
    <n v="5"/>
    <n v="4"/>
    <n v="4"/>
    <n v="5"/>
    <n v="4"/>
    <n v="5"/>
    <n v="4"/>
    <n v="4"/>
    <n v="5"/>
    <n v="4"/>
    <n v="4"/>
    <n v="5"/>
    <n v="4"/>
    <n v="4"/>
    <n v="4"/>
    <n v="4"/>
    <n v="3"/>
    <n v="3"/>
    <n v="4"/>
    <n v="4"/>
    <n v="2"/>
    <n v="3"/>
    <n v="2"/>
    <n v="2"/>
    <n v="2"/>
    <n v="2"/>
    <n v="2"/>
    <x v="6"/>
    <x v="6"/>
  </r>
  <r>
    <n v="1"/>
    <s v="35-44"/>
    <s v="Male"/>
    <s v="Master's Degree"/>
    <x v="0"/>
    <s v="3-5 years"/>
    <n v="4"/>
    <n v="4"/>
    <n v="5"/>
    <n v="5"/>
    <n v="6"/>
    <n v="6"/>
    <n v="5"/>
    <n v="5"/>
    <n v="4"/>
    <n v="4"/>
    <n v="5"/>
    <n v="4"/>
    <n v="5"/>
    <n v="4"/>
    <n v="4"/>
    <n v="5"/>
    <n v="4"/>
    <n v="4"/>
    <n v="5"/>
    <n v="4"/>
    <n v="4"/>
    <n v="4"/>
    <n v="4"/>
    <n v="3"/>
    <n v="3"/>
    <n v="4"/>
    <n v="4"/>
    <n v="2"/>
    <n v="3"/>
    <n v="2"/>
    <n v="2"/>
    <n v="2"/>
    <n v="2"/>
    <n v="2"/>
    <x v="7"/>
    <x v="7"/>
  </r>
  <r>
    <n v="1"/>
    <s v="35-44"/>
    <s v="Male"/>
    <s v="Master's Degree"/>
    <x v="0"/>
    <s v="3-5 years"/>
    <n v="4"/>
    <n v="4"/>
    <n v="5"/>
    <n v="5"/>
    <n v="6"/>
    <n v="6"/>
    <n v="5"/>
    <n v="5"/>
    <n v="4"/>
    <n v="4"/>
    <n v="5"/>
    <n v="4"/>
    <n v="5"/>
    <n v="4"/>
    <n v="4"/>
    <n v="5"/>
    <n v="4"/>
    <n v="4"/>
    <n v="5"/>
    <n v="4"/>
    <n v="4"/>
    <n v="4"/>
    <n v="4"/>
    <n v="3"/>
    <n v="3"/>
    <n v="4"/>
    <n v="4"/>
    <n v="2"/>
    <n v="3"/>
    <n v="2"/>
    <n v="2"/>
    <n v="2"/>
    <n v="2"/>
    <n v="2"/>
    <x v="8"/>
    <x v="8"/>
  </r>
  <r>
    <n v="1"/>
    <s v="35-44"/>
    <s v="Male"/>
    <s v="Master's Degree"/>
    <x v="0"/>
    <s v="3-5 years"/>
    <n v="4"/>
    <n v="4"/>
    <n v="5"/>
    <n v="5"/>
    <n v="6"/>
    <n v="6"/>
    <n v="5"/>
    <n v="5"/>
    <n v="4"/>
    <n v="4"/>
    <n v="5"/>
    <n v="4"/>
    <n v="5"/>
    <n v="4"/>
    <n v="4"/>
    <n v="5"/>
    <n v="4"/>
    <n v="4"/>
    <n v="5"/>
    <n v="4"/>
    <n v="4"/>
    <n v="4"/>
    <n v="4"/>
    <n v="3"/>
    <n v="3"/>
    <n v="4"/>
    <n v="4"/>
    <n v="2"/>
    <n v="3"/>
    <n v="2"/>
    <n v="2"/>
    <n v="2"/>
    <n v="2"/>
    <n v="2"/>
    <x v="9"/>
    <x v="9"/>
  </r>
  <r>
    <n v="1"/>
    <s v="35-44"/>
    <s v="Male"/>
    <s v="Master's Degree"/>
    <x v="0"/>
    <s v="3-5 years"/>
    <n v="4"/>
    <n v="4"/>
    <n v="5"/>
    <n v="5"/>
    <n v="6"/>
    <n v="6"/>
    <n v="5"/>
    <n v="5"/>
    <n v="4"/>
    <n v="4"/>
    <n v="5"/>
    <n v="4"/>
    <n v="5"/>
    <n v="4"/>
    <n v="4"/>
    <n v="5"/>
    <n v="4"/>
    <n v="4"/>
    <n v="5"/>
    <n v="4"/>
    <n v="4"/>
    <n v="4"/>
    <n v="4"/>
    <n v="3"/>
    <n v="3"/>
    <n v="4"/>
    <n v="4"/>
    <n v="2"/>
    <n v="3"/>
    <n v="2"/>
    <n v="2"/>
    <n v="2"/>
    <n v="2"/>
    <n v="2"/>
    <x v="10"/>
    <x v="10"/>
  </r>
  <r>
    <n v="1"/>
    <s v="35-44"/>
    <s v="Male"/>
    <s v="Master's Degree"/>
    <x v="0"/>
    <s v="3-5 years"/>
    <n v="4"/>
    <n v="4"/>
    <n v="5"/>
    <n v="5"/>
    <n v="6"/>
    <n v="6"/>
    <n v="5"/>
    <n v="5"/>
    <n v="4"/>
    <n v="4"/>
    <n v="5"/>
    <n v="4"/>
    <n v="5"/>
    <n v="4"/>
    <n v="4"/>
    <n v="5"/>
    <n v="4"/>
    <n v="4"/>
    <n v="5"/>
    <n v="4"/>
    <n v="4"/>
    <n v="4"/>
    <n v="4"/>
    <n v="3"/>
    <n v="3"/>
    <n v="4"/>
    <n v="4"/>
    <n v="2"/>
    <n v="3"/>
    <n v="2"/>
    <n v="2"/>
    <n v="2"/>
    <n v="2"/>
    <n v="2"/>
    <x v="11"/>
    <x v="11"/>
  </r>
  <r>
    <n v="1"/>
    <s v="35-44"/>
    <s v="Male"/>
    <s v="Master's Degree"/>
    <x v="0"/>
    <s v="3-5 years"/>
    <n v="4"/>
    <n v="4"/>
    <n v="5"/>
    <n v="5"/>
    <n v="6"/>
    <n v="6"/>
    <n v="5"/>
    <n v="5"/>
    <n v="4"/>
    <n v="4"/>
    <n v="5"/>
    <n v="4"/>
    <n v="5"/>
    <n v="4"/>
    <n v="4"/>
    <n v="5"/>
    <n v="4"/>
    <n v="4"/>
    <n v="5"/>
    <n v="4"/>
    <n v="4"/>
    <n v="4"/>
    <n v="4"/>
    <n v="3"/>
    <n v="3"/>
    <n v="4"/>
    <n v="4"/>
    <n v="2"/>
    <n v="3"/>
    <n v="2"/>
    <n v="2"/>
    <n v="2"/>
    <n v="2"/>
    <n v="2"/>
    <x v="12"/>
    <x v="12"/>
  </r>
  <r>
    <n v="1"/>
    <s v="35-44"/>
    <s v="Male"/>
    <s v="Master's Degree"/>
    <x v="0"/>
    <s v="3-5 years"/>
    <n v="4"/>
    <n v="4"/>
    <n v="5"/>
    <n v="5"/>
    <n v="6"/>
    <n v="6"/>
    <n v="5"/>
    <n v="5"/>
    <n v="4"/>
    <n v="4"/>
    <n v="5"/>
    <n v="4"/>
    <n v="5"/>
    <n v="4"/>
    <n v="4"/>
    <n v="5"/>
    <n v="4"/>
    <n v="4"/>
    <n v="5"/>
    <n v="4"/>
    <n v="4"/>
    <n v="4"/>
    <n v="4"/>
    <n v="3"/>
    <n v="3"/>
    <n v="4"/>
    <n v="4"/>
    <n v="2"/>
    <n v="3"/>
    <n v="2"/>
    <n v="2"/>
    <n v="2"/>
    <n v="2"/>
    <n v="2"/>
    <x v="13"/>
    <x v="13"/>
  </r>
  <r>
    <n v="2"/>
    <s v="35-44"/>
    <s v="Male"/>
    <s v="Bachelor's Degree"/>
    <x v="1"/>
    <s v="More than 5 years"/>
    <n v="5"/>
    <n v="5"/>
    <n v="5"/>
    <n v="5"/>
    <n v="6"/>
    <n v="4"/>
    <n v="7"/>
    <n v="7"/>
    <n v="7"/>
    <n v="7"/>
    <n v="7"/>
    <n v="6"/>
    <n v="5"/>
    <n v="5"/>
    <n v="4"/>
    <n v="5"/>
    <n v="4"/>
    <n v="5"/>
    <n v="5"/>
    <n v="4"/>
    <n v="4"/>
    <n v="4"/>
    <n v="4"/>
    <n v="5"/>
    <n v="1"/>
    <n v="2"/>
    <n v="1"/>
    <n v="2"/>
    <n v="1"/>
    <n v="1"/>
    <n v="1"/>
    <n v="2"/>
    <n v="1"/>
    <n v="1"/>
    <x v="0"/>
    <x v="0"/>
  </r>
  <r>
    <n v="2"/>
    <s v="35-44"/>
    <s v="Male"/>
    <s v="Bachelor's Degree"/>
    <x v="1"/>
    <s v="More than 5 years"/>
    <n v="5"/>
    <n v="5"/>
    <n v="5"/>
    <n v="5"/>
    <n v="6"/>
    <n v="4"/>
    <n v="7"/>
    <n v="7"/>
    <n v="7"/>
    <n v="7"/>
    <n v="7"/>
    <n v="6"/>
    <n v="5"/>
    <n v="5"/>
    <n v="4"/>
    <n v="5"/>
    <n v="4"/>
    <n v="5"/>
    <n v="5"/>
    <n v="4"/>
    <n v="4"/>
    <n v="4"/>
    <n v="4"/>
    <n v="5"/>
    <n v="1"/>
    <n v="2"/>
    <n v="1"/>
    <n v="2"/>
    <n v="1"/>
    <n v="1"/>
    <n v="1"/>
    <n v="2"/>
    <n v="1"/>
    <n v="1"/>
    <x v="1"/>
    <x v="14"/>
  </r>
  <r>
    <n v="2"/>
    <s v="35-44"/>
    <s v="Male"/>
    <s v="Bachelor's Degree"/>
    <x v="1"/>
    <s v="More than 5 years"/>
    <n v="5"/>
    <n v="5"/>
    <n v="5"/>
    <n v="5"/>
    <n v="6"/>
    <n v="4"/>
    <n v="7"/>
    <n v="7"/>
    <n v="7"/>
    <n v="7"/>
    <n v="7"/>
    <n v="6"/>
    <n v="5"/>
    <n v="5"/>
    <n v="4"/>
    <n v="5"/>
    <n v="4"/>
    <n v="5"/>
    <n v="5"/>
    <n v="4"/>
    <n v="4"/>
    <n v="4"/>
    <n v="4"/>
    <n v="5"/>
    <n v="1"/>
    <n v="2"/>
    <n v="1"/>
    <n v="2"/>
    <n v="1"/>
    <n v="1"/>
    <n v="1"/>
    <n v="2"/>
    <n v="1"/>
    <n v="1"/>
    <x v="2"/>
    <x v="15"/>
  </r>
  <r>
    <n v="2"/>
    <s v="35-44"/>
    <s v="Male"/>
    <s v="Bachelor's Degree"/>
    <x v="1"/>
    <s v="More than 5 years"/>
    <n v="5"/>
    <n v="5"/>
    <n v="5"/>
    <n v="5"/>
    <n v="6"/>
    <n v="4"/>
    <n v="7"/>
    <n v="7"/>
    <n v="7"/>
    <n v="7"/>
    <n v="7"/>
    <n v="6"/>
    <n v="5"/>
    <n v="5"/>
    <n v="4"/>
    <n v="5"/>
    <n v="4"/>
    <n v="5"/>
    <n v="5"/>
    <n v="4"/>
    <n v="4"/>
    <n v="4"/>
    <n v="4"/>
    <n v="5"/>
    <n v="1"/>
    <n v="2"/>
    <n v="1"/>
    <n v="2"/>
    <n v="1"/>
    <n v="1"/>
    <n v="1"/>
    <n v="2"/>
    <n v="1"/>
    <n v="1"/>
    <x v="3"/>
    <x v="16"/>
  </r>
  <r>
    <n v="2"/>
    <s v="35-44"/>
    <s v="Male"/>
    <s v="Bachelor's Degree"/>
    <x v="1"/>
    <s v="More than 5 years"/>
    <n v="5"/>
    <n v="5"/>
    <n v="5"/>
    <n v="5"/>
    <n v="6"/>
    <n v="4"/>
    <n v="7"/>
    <n v="7"/>
    <n v="7"/>
    <n v="7"/>
    <n v="7"/>
    <n v="6"/>
    <n v="5"/>
    <n v="5"/>
    <n v="4"/>
    <n v="5"/>
    <n v="4"/>
    <n v="5"/>
    <n v="5"/>
    <n v="4"/>
    <n v="4"/>
    <n v="4"/>
    <n v="4"/>
    <n v="5"/>
    <n v="1"/>
    <n v="2"/>
    <n v="1"/>
    <n v="2"/>
    <n v="1"/>
    <n v="1"/>
    <n v="1"/>
    <n v="2"/>
    <n v="1"/>
    <n v="1"/>
    <x v="4"/>
    <x v="4"/>
  </r>
  <r>
    <n v="2"/>
    <s v="35-44"/>
    <s v="Male"/>
    <s v="Bachelor's Degree"/>
    <x v="1"/>
    <s v="More than 5 years"/>
    <n v="5"/>
    <n v="5"/>
    <n v="5"/>
    <n v="5"/>
    <n v="6"/>
    <n v="4"/>
    <n v="7"/>
    <n v="7"/>
    <n v="7"/>
    <n v="7"/>
    <n v="7"/>
    <n v="6"/>
    <n v="5"/>
    <n v="5"/>
    <n v="4"/>
    <n v="5"/>
    <n v="4"/>
    <n v="5"/>
    <n v="5"/>
    <n v="4"/>
    <n v="4"/>
    <n v="4"/>
    <n v="4"/>
    <n v="5"/>
    <n v="1"/>
    <n v="2"/>
    <n v="1"/>
    <n v="2"/>
    <n v="1"/>
    <n v="1"/>
    <n v="1"/>
    <n v="2"/>
    <n v="1"/>
    <n v="1"/>
    <x v="5"/>
    <x v="5"/>
  </r>
  <r>
    <n v="2"/>
    <s v="35-44"/>
    <s v="Male"/>
    <s v="Bachelor's Degree"/>
    <x v="1"/>
    <s v="More than 5 years"/>
    <n v="5"/>
    <n v="5"/>
    <n v="5"/>
    <n v="5"/>
    <n v="6"/>
    <n v="4"/>
    <n v="7"/>
    <n v="7"/>
    <n v="7"/>
    <n v="7"/>
    <n v="7"/>
    <n v="6"/>
    <n v="5"/>
    <n v="5"/>
    <n v="4"/>
    <n v="5"/>
    <n v="4"/>
    <n v="5"/>
    <n v="5"/>
    <n v="4"/>
    <n v="4"/>
    <n v="4"/>
    <n v="4"/>
    <n v="5"/>
    <n v="1"/>
    <n v="2"/>
    <n v="1"/>
    <n v="2"/>
    <n v="1"/>
    <n v="1"/>
    <n v="1"/>
    <n v="2"/>
    <n v="1"/>
    <n v="1"/>
    <x v="6"/>
    <x v="6"/>
  </r>
  <r>
    <n v="2"/>
    <s v="35-44"/>
    <s v="Male"/>
    <s v="Bachelor's Degree"/>
    <x v="1"/>
    <s v="More than 5 years"/>
    <n v="5"/>
    <n v="5"/>
    <n v="5"/>
    <n v="5"/>
    <n v="6"/>
    <n v="4"/>
    <n v="7"/>
    <n v="7"/>
    <n v="7"/>
    <n v="7"/>
    <n v="7"/>
    <n v="6"/>
    <n v="5"/>
    <n v="5"/>
    <n v="4"/>
    <n v="5"/>
    <n v="4"/>
    <n v="5"/>
    <n v="5"/>
    <n v="4"/>
    <n v="4"/>
    <n v="4"/>
    <n v="4"/>
    <n v="5"/>
    <n v="1"/>
    <n v="2"/>
    <n v="1"/>
    <n v="2"/>
    <n v="1"/>
    <n v="1"/>
    <n v="1"/>
    <n v="2"/>
    <n v="1"/>
    <n v="1"/>
    <x v="7"/>
    <x v="17"/>
  </r>
  <r>
    <n v="2"/>
    <s v="35-44"/>
    <s v="Male"/>
    <s v="Bachelor's Degree"/>
    <x v="1"/>
    <s v="More than 5 years"/>
    <n v="5"/>
    <n v="5"/>
    <n v="5"/>
    <n v="5"/>
    <n v="6"/>
    <n v="4"/>
    <n v="7"/>
    <n v="7"/>
    <n v="7"/>
    <n v="7"/>
    <n v="7"/>
    <n v="6"/>
    <n v="5"/>
    <n v="5"/>
    <n v="4"/>
    <n v="5"/>
    <n v="4"/>
    <n v="5"/>
    <n v="5"/>
    <n v="4"/>
    <n v="4"/>
    <n v="4"/>
    <n v="4"/>
    <n v="5"/>
    <n v="1"/>
    <n v="2"/>
    <n v="1"/>
    <n v="2"/>
    <n v="1"/>
    <n v="1"/>
    <n v="1"/>
    <n v="2"/>
    <n v="1"/>
    <n v="1"/>
    <x v="8"/>
    <x v="8"/>
  </r>
  <r>
    <n v="2"/>
    <s v="35-44"/>
    <s v="Male"/>
    <s v="Bachelor's Degree"/>
    <x v="1"/>
    <s v="More than 5 years"/>
    <n v="5"/>
    <n v="5"/>
    <n v="5"/>
    <n v="5"/>
    <n v="6"/>
    <n v="4"/>
    <n v="7"/>
    <n v="7"/>
    <n v="7"/>
    <n v="7"/>
    <n v="7"/>
    <n v="6"/>
    <n v="5"/>
    <n v="5"/>
    <n v="4"/>
    <n v="5"/>
    <n v="4"/>
    <n v="5"/>
    <n v="5"/>
    <n v="4"/>
    <n v="4"/>
    <n v="4"/>
    <n v="4"/>
    <n v="5"/>
    <n v="1"/>
    <n v="2"/>
    <n v="1"/>
    <n v="2"/>
    <n v="1"/>
    <n v="1"/>
    <n v="1"/>
    <n v="2"/>
    <n v="1"/>
    <n v="1"/>
    <x v="9"/>
    <x v="18"/>
  </r>
  <r>
    <n v="2"/>
    <s v="35-44"/>
    <s v="Male"/>
    <s v="Bachelor's Degree"/>
    <x v="1"/>
    <s v="More than 5 years"/>
    <n v="5"/>
    <n v="5"/>
    <n v="5"/>
    <n v="5"/>
    <n v="6"/>
    <n v="4"/>
    <n v="7"/>
    <n v="7"/>
    <n v="7"/>
    <n v="7"/>
    <n v="7"/>
    <n v="6"/>
    <n v="5"/>
    <n v="5"/>
    <n v="4"/>
    <n v="5"/>
    <n v="4"/>
    <n v="5"/>
    <n v="5"/>
    <n v="4"/>
    <n v="4"/>
    <n v="4"/>
    <n v="4"/>
    <n v="5"/>
    <n v="1"/>
    <n v="2"/>
    <n v="1"/>
    <n v="2"/>
    <n v="1"/>
    <n v="1"/>
    <n v="1"/>
    <n v="2"/>
    <n v="1"/>
    <n v="1"/>
    <x v="10"/>
    <x v="19"/>
  </r>
  <r>
    <n v="2"/>
    <s v="35-44"/>
    <s v="Male"/>
    <s v="Bachelor's Degree"/>
    <x v="1"/>
    <s v="More than 5 years"/>
    <n v="5"/>
    <n v="5"/>
    <n v="5"/>
    <n v="5"/>
    <n v="6"/>
    <n v="4"/>
    <n v="7"/>
    <n v="7"/>
    <n v="7"/>
    <n v="7"/>
    <n v="7"/>
    <n v="6"/>
    <n v="5"/>
    <n v="5"/>
    <n v="4"/>
    <n v="5"/>
    <n v="4"/>
    <n v="5"/>
    <n v="5"/>
    <n v="4"/>
    <n v="4"/>
    <n v="4"/>
    <n v="4"/>
    <n v="5"/>
    <n v="1"/>
    <n v="2"/>
    <n v="1"/>
    <n v="2"/>
    <n v="1"/>
    <n v="1"/>
    <n v="1"/>
    <n v="2"/>
    <n v="1"/>
    <n v="1"/>
    <x v="11"/>
    <x v="11"/>
  </r>
  <r>
    <n v="2"/>
    <s v="35-44"/>
    <s v="Male"/>
    <s v="Bachelor's Degree"/>
    <x v="1"/>
    <s v="More than 5 years"/>
    <n v="5"/>
    <n v="5"/>
    <n v="5"/>
    <n v="5"/>
    <n v="6"/>
    <n v="4"/>
    <n v="7"/>
    <n v="7"/>
    <n v="7"/>
    <n v="7"/>
    <n v="7"/>
    <n v="6"/>
    <n v="5"/>
    <n v="5"/>
    <n v="4"/>
    <n v="5"/>
    <n v="4"/>
    <n v="5"/>
    <n v="5"/>
    <n v="4"/>
    <n v="4"/>
    <n v="4"/>
    <n v="4"/>
    <n v="5"/>
    <n v="1"/>
    <n v="2"/>
    <n v="1"/>
    <n v="2"/>
    <n v="1"/>
    <n v="1"/>
    <n v="1"/>
    <n v="2"/>
    <n v="1"/>
    <n v="1"/>
    <x v="12"/>
    <x v="12"/>
  </r>
  <r>
    <n v="2"/>
    <s v="35-44"/>
    <s v="Male"/>
    <s v="Bachelor's Degree"/>
    <x v="1"/>
    <s v="More than 5 years"/>
    <n v="5"/>
    <n v="5"/>
    <n v="5"/>
    <n v="5"/>
    <n v="6"/>
    <n v="4"/>
    <n v="7"/>
    <n v="7"/>
    <n v="7"/>
    <n v="7"/>
    <n v="7"/>
    <n v="6"/>
    <n v="5"/>
    <n v="5"/>
    <n v="4"/>
    <n v="5"/>
    <n v="4"/>
    <n v="5"/>
    <n v="5"/>
    <n v="4"/>
    <n v="4"/>
    <n v="4"/>
    <n v="4"/>
    <n v="5"/>
    <n v="1"/>
    <n v="2"/>
    <n v="1"/>
    <n v="2"/>
    <n v="1"/>
    <n v="1"/>
    <n v="1"/>
    <n v="2"/>
    <n v="1"/>
    <n v="1"/>
    <x v="13"/>
    <x v="20"/>
  </r>
  <r>
    <n v="3"/>
    <s v="25-34"/>
    <s v="Male"/>
    <s v="Master's Degree"/>
    <x v="2"/>
    <s v="More than 5 years"/>
    <n v="3"/>
    <n v="3"/>
    <n v="4"/>
    <n v="3"/>
    <n v="3"/>
    <n v="3"/>
    <n v="3"/>
    <n v="3"/>
    <n v="3"/>
    <n v="3"/>
    <n v="3"/>
    <n v="3"/>
    <n v="3"/>
    <n v="4"/>
    <n v="3"/>
    <n v="3"/>
    <n v="3"/>
    <n v="3"/>
    <n v="3"/>
    <n v="3"/>
    <n v="3"/>
    <n v="3"/>
    <n v="3"/>
    <n v="3"/>
    <n v="2"/>
    <n v="3"/>
    <n v="3"/>
    <n v="2"/>
    <n v="3"/>
    <n v="2"/>
    <n v="3"/>
    <n v="3"/>
    <n v="2"/>
    <n v="3"/>
    <x v="0"/>
    <x v="21"/>
  </r>
  <r>
    <n v="3"/>
    <s v="25-34"/>
    <s v="Male"/>
    <s v="Master's Degree"/>
    <x v="2"/>
    <s v="More than 5 years"/>
    <n v="3"/>
    <n v="3"/>
    <n v="4"/>
    <n v="3"/>
    <n v="3"/>
    <n v="3"/>
    <n v="3"/>
    <n v="3"/>
    <n v="3"/>
    <n v="3"/>
    <n v="3"/>
    <n v="3"/>
    <n v="3"/>
    <n v="4"/>
    <n v="3"/>
    <n v="3"/>
    <n v="3"/>
    <n v="3"/>
    <n v="3"/>
    <n v="3"/>
    <n v="3"/>
    <n v="3"/>
    <n v="3"/>
    <n v="3"/>
    <n v="2"/>
    <n v="3"/>
    <n v="3"/>
    <n v="2"/>
    <n v="3"/>
    <n v="2"/>
    <n v="3"/>
    <n v="3"/>
    <n v="2"/>
    <n v="3"/>
    <x v="1"/>
    <x v="1"/>
  </r>
  <r>
    <n v="3"/>
    <s v="25-34"/>
    <s v="Male"/>
    <s v="Master's Degree"/>
    <x v="2"/>
    <s v="More than 5 years"/>
    <n v="3"/>
    <n v="3"/>
    <n v="4"/>
    <n v="3"/>
    <n v="3"/>
    <n v="3"/>
    <n v="3"/>
    <n v="3"/>
    <n v="3"/>
    <n v="3"/>
    <n v="3"/>
    <n v="3"/>
    <n v="3"/>
    <n v="4"/>
    <n v="3"/>
    <n v="3"/>
    <n v="3"/>
    <n v="3"/>
    <n v="3"/>
    <n v="3"/>
    <n v="3"/>
    <n v="3"/>
    <n v="3"/>
    <n v="3"/>
    <n v="2"/>
    <n v="3"/>
    <n v="3"/>
    <n v="2"/>
    <n v="3"/>
    <n v="2"/>
    <n v="3"/>
    <n v="3"/>
    <n v="2"/>
    <n v="3"/>
    <x v="2"/>
    <x v="2"/>
  </r>
  <r>
    <n v="3"/>
    <s v="25-34"/>
    <s v="Male"/>
    <s v="Master's Degree"/>
    <x v="2"/>
    <s v="More than 5 years"/>
    <n v="3"/>
    <n v="3"/>
    <n v="4"/>
    <n v="3"/>
    <n v="3"/>
    <n v="3"/>
    <n v="3"/>
    <n v="3"/>
    <n v="3"/>
    <n v="3"/>
    <n v="3"/>
    <n v="3"/>
    <n v="3"/>
    <n v="4"/>
    <n v="3"/>
    <n v="3"/>
    <n v="3"/>
    <n v="3"/>
    <n v="3"/>
    <n v="3"/>
    <n v="3"/>
    <n v="3"/>
    <n v="3"/>
    <n v="3"/>
    <n v="2"/>
    <n v="3"/>
    <n v="3"/>
    <n v="2"/>
    <n v="3"/>
    <n v="2"/>
    <n v="3"/>
    <n v="3"/>
    <n v="2"/>
    <n v="3"/>
    <x v="3"/>
    <x v="22"/>
  </r>
  <r>
    <n v="3"/>
    <s v="25-34"/>
    <s v="Male"/>
    <s v="Master's Degree"/>
    <x v="2"/>
    <s v="More than 5 years"/>
    <n v="3"/>
    <n v="3"/>
    <n v="4"/>
    <n v="3"/>
    <n v="3"/>
    <n v="3"/>
    <n v="3"/>
    <n v="3"/>
    <n v="3"/>
    <n v="3"/>
    <n v="3"/>
    <n v="3"/>
    <n v="3"/>
    <n v="4"/>
    <n v="3"/>
    <n v="3"/>
    <n v="3"/>
    <n v="3"/>
    <n v="3"/>
    <n v="3"/>
    <n v="3"/>
    <n v="3"/>
    <n v="3"/>
    <n v="3"/>
    <n v="2"/>
    <n v="3"/>
    <n v="3"/>
    <n v="2"/>
    <n v="3"/>
    <n v="2"/>
    <n v="3"/>
    <n v="3"/>
    <n v="2"/>
    <n v="3"/>
    <x v="4"/>
    <x v="23"/>
  </r>
  <r>
    <n v="3"/>
    <s v="25-34"/>
    <s v="Male"/>
    <s v="Master's Degree"/>
    <x v="2"/>
    <s v="More than 5 years"/>
    <n v="3"/>
    <n v="3"/>
    <n v="4"/>
    <n v="3"/>
    <n v="3"/>
    <n v="3"/>
    <n v="3"/>
    <n v="3"/>
    <n v="3"/>
    <n v="3"/>
    <n v="3"/>
    <n v="3"/>
    <n v="3"/>
    <n v="4"/>
    <n v="3"/>
    <n v="3"/>
    <n v="3"/>
    <n v="3"/>
    <n v="3"/>
    <n v="3"/>
    <n v="3"/>
    <n v="3"/>
    <n v="3"/>
    <n v="3"/>
    <n v="2"/>
    <n v="3"/>
    <n v="3"/>
    <n v="2"/>
    <n v="3"/>
    <n v="2"/>
    <n v="3"/>
    <n v="3"/>
    <n v="2"/>
    <n v="3"/>
    <x v="5"/>
    <x v="24"/>
  </r>
  <r>
    <n v="3"/>
    <s v="25-34"/>
    <s v="Male"/>
    <s v="Master's Degree"/>
    <x v="2"/>
    <s v="More than 5 years"/>
    <n v="3"/>
    <n v="3"/>
    <n v="4"/>
    <n v="3"/>
    <n v="3"/>
    <n v="3"/>
    <n v="3"/>
    <n v="3"/>
    <n v="3"/>
    <n v="3"/>
    <n v="3"/>
    <n v="3"/>
    <n v="3"/>
    <n v="4"/>
    <n v="3"/>
    <n v="3"/>
    <n v="3"/>
    <n v="3"/>
    <n v="3"/>
    <n v="3"/>
    <n v="3"/>
    <n v="3"/>
    <n v="3"/>
    <n v="3"/>
    <n v="2"/>
    <n v="3"/>
    <n v="3"/>
    <n v="2"/>
    <n v="3"/>
    <n v="2"/>
    <n v="3"/>
    <n v="3"/>
    <n v="2"/>
    <n v="3"/>
    <x v="6"/>
    <x v="25"/>
  </r>
  <r>
    <n v="3"/>
    <s v="25-34"/>
    <s v="Male"/>
    <s v="Master's Degree"/>
    <x v="2"/>
    <s v="More than 5 years"/>
    <n v="3"/>
    <n v="3"/>
    <n v="4"/>
    <n v="3"/>
    <n v="3"/>
    <n v="3"/>
    <n v="3"/>
    <n v="3"/>
    <n v="3"/>
    <n v="3"/>
    <n v="3"/>
    <n v="3"/>
    <n v="3"/>
    <n v="4"/>
    <n v="3"/>
    <n v="3"/>
    <n v="3"/>
    <n v="3"/>
    <n v="3"/>
    <n v="3"/>
    <n v="3"/>
    <n v="3"/>
    <n v="3"/>
    <n v="3"/>
    <n v="2"/>
    <n v="3"/>
    <n v="3"/>
    <n v="2"/>
    <n v="3"/>
    <n v="2"/>
    <n v="3"/>
    <n v="3"/>
    <n v="2"/>
    <n v="3"/>
    <x v="7"/>
    <x v="26"/>
  </r>
  <r>
    <n v="3"/>
    <s v="25-34"/>
    <s v="Male"/>
    <s v="Master's Degree"/>
    <x v="2"/>
    <s v="More than 5 years"/>
    <n v="3"/>
    <n v="3"/>
    <n v="4"/>
    <n v="3"/>
    <n v="3"/>
    <n v="3"/>
    <n v="3"/>
    <n v="3"/>
    <n v="3"/>
    <n v="3"/>
    <n v="3"/>
    <n v="3"/>
    <n v="3"/>
    <n v="4"/>
    <n v="3"/>
    <n v="3"/>
    <n v="3"/>
    <n v="3"/>
    <n v="3"/>
    <n v="3"/>
    <n v="3"/>
    <n v="3"/>
    <n v="3"/>
    <n v="3"/>
    <n v="2"/>
    <n v="3"/>
    <n v="3"/>
    <n v="2"/>
    <n v="3"/>
    <n v="2"/>
    <n v="3"/>
    <n v="3"/>
    <n v="2"/>
    <n v="3"/>
    <x v="8"/>
    <x v="27"/>
  </r>
  <r>
    <n v="3"/>
    <s v="25-34"/>
    <s v="Male"/>
    <s v="Master's Degree"/>
    <x v="2"/>
    <s v="More than 5 years"/>
    <n v="3"/>
    <n v="3"/>
    <n v="4"/>
    <n v="3"/>
    <n v="3"/>
    <n v="3"/>
    <n v="3"/>
    <n v="3"/>
    <n v="3"/>
    <n v="3"/>
    <n v="3"/>
    <n v="3"/>
    <n v="3"/>
    <n v="4"/>
    <n v="3"/>
    <n v="3"/>
    <n v="3"/>
    <n v="3"/>
    <n v="3"/>
    <n v="3"/>
    <n v="3"/>
    <n v="3"/>
    <n v="3"/>
    <n v="3"/>
    <n v="2"/>
    <n v="3"/>
    <n v="3"/>
    <n v="2"/>
    <n v="3"/>
    <n v="2"/>
    <n v="3"/>
    <n v="3"/>
    <n v="2"/>
    <n v="3"/>
    <x v="9"/>
    <x v="28"/>
  </r>
  <r>
    <n v="3"/>
    <s v="25-34"/>
    <s v="Male"/>
    <s v="Master's Degree"/>
    <x v="2"/>
    <s v="More than 5 years"/>
    <n v="3"/>
    <n v="3"/>
    <n v="4"/>
    <n v="3"/>
    <n v="3"/>
    <n v="3"/>
    <n v="3"/>
    <n v="3"/>
    <n v="3"/>
    <n v="3"/>
    <n v="3"/>
    <n v="3"/>
    <n v="3"/>
    <n v="4"/>
    <n v="3"/>
    <n v="3"/>
    <n v="3"/>
    <n v="3"/>
    <n v="3"/>
    <n v="3"/>
    <n v="3"/>
    <n v="3"/>
    <n v="3"/>
    <n v="3"/>
    <n v="2"/>
    <n v="3"/>
    <n v="3"/>
    <n v="2"/>
    <n v="3"/>
    <n v="2"/>
    <n v="3"/>
    <n v="3"/>
    <n v="2"/>
    <n v="3"/>
    <x v="10"/>
    <x v="29"/>
  </r>
  <r>
    <n v="3"/>
    <s v="25-34"/>
    <s v="Male"/>
    <s v="Master's Degree"/>
    <x v="2"/>
    <s v="More than 5 years"/>
    <n v="3"/>
    <n v="3"/>
    <n v="4"/>
    <n v="3"/>
    <n v="3"/>
    <n v="3"/>
    <n v="3"/>
    <n v="3"/>
    <n v="3"/>
    <n v="3"/>
    <n v="3"/>
    <n v="3"/>
    <n v="3"/>
    <n v="4"/>
    <n v="3"/>
    <n v="3"/>
    <n v="3"/>
    <n v="3"/>
    <n v="3"/>
    <n v="3"/>
    <n v="3"/>
    <n v="3"/>
    <n v="3"/>
    <n v="3"/>
    <n v="2"/>
    <n v="3"/>
    <n v="3"/>
    <n v="2"/>
    <n v="3"/>
    <n v="2"/>
    <n v="3"/>
    <n v="3"/>
    <n v="2"/>
    <n v="3"/>
    <x v="11"/>
    <x v="11"/>
  </r>
  <r>
    <n v="3"/>
    <s v="25-34"/>
    <s v="Male"/>
    <s v="Master's Degree"/>
    <x v="2"/>
    <s v="More than 5 years"/>
    <n v="3"/>
    <n v="3"/>
    <n v="4"/>
    <n v="3"/>
    <n v="3"/>
    <n v="3"/>
    <n v="3"/>
    <n v="3"/>
    <n v="3"/>
    <n v="3"/>
    <n v="3"/>
    <n v="3"/>
    <n v="3"/>
    <n v="4"/>
    <n v="3"/>
    <n v="3"/>
    <n v="3"/>
    <n v="3"/>
    <n v="3"/>
    <n v="3"/>
    <n v="3"/>
    <n v="3"/>
    <n v="3"/>
    <n v="3"/>
    <n v="2"/>
    <n v="3"/>
    <n v="3"/>
    <n v="2"/>
    <n v="3"/>
    <n v="2"/>
    <n v="3"/>
    <n v="3"/>
    <n v="2"/>
    <n v="3"/>
    <x v="12"/>
    <x v="2"/>
  </r>
  <r>
    <n v="3"/>
    <s v="25-34"/>
    <s v="Male"/>
    <s v="Master's Degree"/>
    <x v="2"/>
    <s v="More than 5 years"/>
    <n v="3"/>
    <n v="3"/>
    <n v="4"/>
    <n v="3"/>
    <n v="3"/>
    <n v="3"/>
    <n v="3"/>
    <n v="3"/>
    <n v="3"/>
    <n v="3"/>
    <n v="3"/>
    <n v="3"/>
    <n v="3"/>
    <n v="4"/>
    <n v="3"/>
    <n v="3"/>
    <n v="3"/>
    <n v="3"/>
    <n v="3"/>
    <n v="3"/>
    <n v="3"/>
    <n v="3"/>
    <n v="3"/>
    <n v="3"/>
    <n v="2"/>
    <n v="3"/>
    <n v="3"/>
    <n v="2"/>
    <n v="3"/>
    <n v="2"/>
    <n v="3"/>
    <n v="3"/>
    <n v="2"/>
    <n v="3"/>
    <x v="13"/>
    <x v="30"/>
  </r>
  <r>
    <n v="4"/>
    <s v="55+"/>
    <s v="Female"/>
    <s v="High School/Secondary Education"/>
    <x v="2"/>
    <s v="1-3 years"/>
    <n v="1"/>
    <n v="3"/>
    <n v="2"/>
    <n v="3"/>
    <n v="1"/>
    <n v="2"/>
    <n v="2"/>
    <n v="1"/>
    <n v="3"/>
    <n v="2"/>
    <n v="1"/>
    <n v="2"/>
    <n v="1"/>
    <n v="2"/>
    <n v="3"/>
    <n v="2"/>
    <n v="3"/>
    <n v="2"/>
    <n v="1"/>
    <n v="2"/>
    <n v="1"/>
    <n v="2"/>
    <n v="2"/>
    <n v="2"/>
    <n v="2"/>
    <n v="1"/>
    <n v="2"/>
    <n v="2"/>
    <n v="2"/>
    <n v="1"/>
    <n v="2"/>
    <n v="2"/>
    <n v="2"/>
    <n v="1"/>
    <x v="0"/>
    <x v="0"/>
  </r>
  <r>
    <n v="4"/>
    <s v="55+"/>
    <s v="Female"/>
    <s v="High School/Secondary Education"/>
    <x v="2"/>
    <s v="1-3 years"/>
    <n v="1"/>
    <n v="3"/>
    <n v="2"/>
    <n v="3"/>
    <n v="1"/>
    <n v="2"/>
    <n v="2"/>
    <n v="1"/>
    <n v="3"/>
    <n v="2"/>
    <n v="1"/>
    <n v="2"/>
    <n v="1"/>
    <n v="2"/>
    <n v="3"/>
    <n v="2"/>
    <n v="3"/>
    <n v="2"/>
    <n v="1"/>
    <n v="2"/>
    <n v="1"/>
    <n v="2"/>
    <n v="2"/>
    <n v="2"/>
    <n v="2"/>
    <n v="1"/>
    <n v="2"/>
    <n v="2"/>
    <n v="2"/>
    <n v="1"/>
    <n v="2"/>
    <n v="2"/>
    <n v="2"/>
    <n v="1"/>
    <x v="1"/>
    <x v="1"/>
  </r>
  <r>
    <n v="4"/>
    <s v="55+"/>
    <s v="Female"/>
    <s v="High School/Secondary Education"/>
    <x v="2"/>
    <s v="1-3 years"/>
    <n v="1"/>
    <n v="3"/>
    <n v="2"/>
    <n v="3"/>
    <n v="1"/>
    <n v="2"/>
    <n v="2"/>
    <n v="1"/>
    <n v="3"/>
    <n v="2"/>
    <n v="1"/>
    <n v="2"/>
    <n v="1"/>
    <n v="2"/>
    <n v="3"/>
    <n v="2"/>
    <n v="3"/>
    <n v="2"/>
    <n v="1"/>
    <n v="2"/>
    <n v="1"/>
    <n v="2"/>
    <n v="2"/>
    <n v="2"/>
    <n v="2"/>
    <n v="1"/>
    <n v="2"/>
    <n v="2"/>
    <n v="2"/>
    <n v="1"/>
    <n v="2"/>
    <n v="2"/>
    <n v="2"/>
    <n v="1"/>
    <x v="2"/>
    <x v="31"/>
  </r>
  <r>
    <n v="4"/>
    <s v="55+"/>
    <s v="Female"/>
    <s v="High School/Secondary Education"/>
    <x v="2"/>
    <s v="1-3 years"/>
    <n v="1"/>
    <n v="3"/>
    <n v="2"/>
    <n v="3"/>
    <n v="1"/>
    <n v="2"/>
    <n v="2"/>
    <n v="1"/>
    <n v="3"/>
    <n v="2"/>
    <n v="1"/>
    <n v="2"/>
    <n v="1"/>
    <n v="2"/>
    <n v="3"/>
    <n v="2"/>
    <n v="3"/>
    <n v="2"/>
    <n v="1"/>
    <n v="2"/>
    <n v="1"/>
    <n v="2"/>
    <n v="2"/>
    <n v="2"/>
    <n v="2"/>
    <n v="1"/>
    <n v="2"/>
    <n v="2"/>
    <n v="2"/>
    <n v="1"/>
    <n v="2"/>
    <n v="2"/>
    <n v="2"/>
    <n v="1"/>
    <x v="3"/>
    <x v="32"/>
  </r>
  <r>
    <n v="4"/>
    <s v="55+"/>
    <s v="Female"/>
    <s v="High School/Secondary Education"/>
    <x v="2"/>
    <s v="1-3 years"/>
    <n v="1"/>
    <n v="3"/>
    <n v="2"/>
    <n v="3"/>
    <n v="1"/>
    <n v="2"/>
    <n v="2"/>
    <n v="1"/>
    <n v="3"/>
    <n v="2"/>
    <n v="1"/>
    <n v="2"/>
    <n v="1"/>
    <n v="2"/>
    <n v="3"/>
    <n v="2"/>
    <n v="3"/>
    <n v="2"/>
    <n v="1"/>
    <n v="2"/>
    <n v="1"/>
    <n v="2"/>
    <n v="2"/>
    <n v="2"/>
    <n v="2"/>
    <n v="1"/>
    <n v="2"/>
    <n v="2"/>
    <n v="2"/>
    <n v="1"/>
    <n v="2"/>
    <n v="2"/>
    <n v="2"/>
    <n v="1"/>
    <x v="4"/>
    <x v="23"/>
  </r>
  <r>
    <n v="4"/>
    <s v="55+"/>
    <s v="Female"/>
    <s v="High School/Secondary Education"/>
    <x v="2"/>
    <s v="1-3 years"/>
    <n v="1"/>
    <n v="3"/>
    <n v="2"/>
    <n v="3"/>
    <n v="1"/>
    <n v="2"/>
    <n v="2"/>
    <n v="1"/>
    <n v="3"/>
    <n v="2"/>
    <n v="1"/>
    <n v="2"/>
    <n v="1"/>
    <n v="2"/>
    <n v="3"/>
    <n v="2"/>
    <n v="3"/>
    <n v="2"/>
    <n v="1"/>
    <n v="2"/>
    <n v="1"/>
    <n v="2"/>
    <n v="2"/>
    <n v="2"/>
    <n v="2"/>
    <n v="1"/>
    <n v="2"/>
    <n v="2"/>
    <n v="2"/>
    <n v="1"/>
    <n v="2"/>
    <n v="2"/>
    <n v="2"/>
    <n v="1"/>
    <x v="5"/>
    <x v="33"/>
  </r>
  <r>
    <n v="4"/>
    <s v="55+"/>
    <s v="Female"/>
    <s v="High School/Secondary Education"/>
    <x v="2"/>
    <s v="1-3 years"/>
    <n v="1"/>
    <n v="3"/>
    <n v="2"/>
    <n v="3"/>
    <n v="1"/>
    <n v="2"/>
    <n v="2"/>
    <n v="1"/>
    <n v="3"/>
    <n v="2"/>
    <n v="1"/>
    <n v="2"/>
    <n v="1"/>
    <n v="2"/>
    <n v="3"/>
    <n v="2"/>
    <n v="3"/>
    <n v="2"/>
    <n v="1"/>
    <n v="2"/>
    <n v="1"/>
    <n v="2"/>
    <n v="2"/>
    <n v="2"/>
    <n v="2"/>
    <n v="1"/>
    <n v="2"/>
    <n v="2"/>
    <n v="2"/>
    <n v="1"/>
    <n v="2"/>
    <n v="2"/>
    <n v="2"/>
    <n v="1"/>
    <x v="6"/>
    <x v="34"/>
  </r>
  <r>
    <n v="4"/>
    <s v="55+"/>
    <s v="Female"/>
    <s v="High School/Secondary Education"/>
    <x v="2"/>
    <s v="1-3 years"/>
    <n v="1"/>
    <n v="3"/>
    <n v="2"/>
    <n v="3"/>
    <n v="1"/>
    <n v="2"/>
    <n v="2"/>
    <n v="1"/>
    <n v="3"/>
    <n v="2"/>
    <n v="1"/>
    <n v="2"/>
    <n v="1"/>
    <n v="2"/>
    <n v="3"/>
    <n v="2"/>
    <n v="3"/>
    <n v="2"/>
    <n v="1"/>
    <n v="2"/>
    <n v="1"/>
    <n v="2"/>
    <n v="2"/>
    <n v="2"/>
    <n v="2"/>
    <n v="1"/>
    <n v="2"/>
    <n v="2"/>
    <n v="2"/>
    <n v="1"/>
    <n v="2"/>
    <n v="2"/>
    <n v="2"/>
    <n v="1"/>
    <x v="7"/>
    <x v="35"/>
  </r>
  <r>
    <n v="4"/>
    <s v="55+"/>
    <s v="Female"/>
    <s v="High School/Secondary Education"/>
    <x v="2"/>
    <s v="1-3 years"/>
    <n v="1"/>
    <n v="3"/>
    <n v="2"/>
    <n v="3"/>
    <n v="1"/>
    <n v="2"/>
    <n v="2"/>
    <n v="1"/>
    <n v="3"/>
    <n v="2"/>
    <n v="1"/>
    <n v="2"/>
    <n v="1"/>
    <n v="2"/>
    <n v="3"/>
    <n v="2"/>
    <n v="3"/>
    <n v="2"/>
    <n v="1"/>
    <n v="2"/>
    <n v="1"/>
    <n v="2"/>
    <n v="2"/>
    <n v="2"/>
    <n v="2"/>
    <n v="1"/>
    <n v="2"/>
    <n v="2"/>
    <n v="2"/>
    <n v="1"/>
    <n v="2"/>
    <n v="2"/>
    <n v="2"/>
    <n v="1"/>
    <x v="8"/>
    <x v="36"/>
  </r>
  <r>
    <n v="4"/>
    <s v="55+"/>
    <s v="Female"/>
    <s v="High School/Secondary Education"/>
    <x v="2"/>
    <s v="1-3 years"/>
    <n v="1"/>
    <n v="3"/>
    <n v="2"/>
    <n v="3"/>
    <n v="1"/>
    <n v="2"/>
    <n v="2"/>
    <n v="1"/>
    <n v="3"/>
    <n v="2"/>
    <n v="1"/>
    <n v="2"/>
    <n v="1"/>
    <n v="2"/>
    <n v="3"/>
    <n v="2"/>
    <n v="3"/>
    <n v="2"/>
    <n v="1"/>
    <n v="2"/>
    <n v="1"/>
    <n v="2"/>
    <n v="2"/>
    <n v="2"/>
    <n v="2"/>
    <n v="1"/>
    <n v="2"/>
    <n v="2"/>
    <n v="2"/>
    <n v="1"/>
    <n v="2"/>
    <n v="2"/>
    <n v="2"/>
    <n v="1"/>
    <x v="9"/>
    <x v="37"/>
  </r>
  <r>
    <n v="4"/>
    <s v="55+"/>
    <s v="Female"/>
    <s v="High School/Secondary Education"/>
    <x v="2"/>
    <s v="1-3 years"/>
    <n v="1"/>
    <n v="3"/>
    <n v="2"/>
    <n v="3"/>
    <n v="1"/>
    <n v="2"/>
    <n v="2"/>
    <n v="1"/>
    <n v="3"/>
    <n v="2"/>
    <n v="1"/>
    <n v="2"/>
    <n v="1"/>
    <n v="2"/>
    <n v="3"/>
    <n v="2"/>
    <n v="3"/>
    <n v="2"/>
    <n v="1"/>
    <n v="2"/>
    <n v="1"/>
    <n v="2"/>
    <n v="2"/>
    <n v="2"/>
    <n v="2"/>
    <n v="1"/>
    <n v="2"/>
    <n v="2"/>
    <n v="2"/>
    <n v="1"/>
    <n v="2"/>
    <n v="2"/>
    <n v="2"/>
    <n v="1"/>
    <x v="10"/>
    <x v="38"/>
  </r>
  <r>
    <n v="4"/>
    <s v="55+"/>
    <s v="Female"/>
    <s v="High School/Secondary Education"/>
    <x v="2"/>
    <s v="1-3 years"/>
    <n v="1"/>
    <n v="3"/>
    <n v="2"/>
    <n v="3"/>
    <n v="1"/>
    <n v="2"/>
    <n v="2"/>
    <n v="1"/>
    <n v="3"/>
    <n v="2"/>
    <n v="1"/>
    <n v="2"/>
    <n v="1"/>
    <n v="2"/>
    <n v="3"/>
    <n v="2"/>
    <n v="3"/>
    <n v="2"/>
    <n v="1"/>
    <n v="2"/>
    <n v="1"/>
    <n v="2"/>
    <n v="2"/>
    <n v="2"/>
    <n v="2"/>
    <n v="1"/>
    <n v="2"/>
    <n v="2"/>
    <n v="2"/>
    <n v="1"/>
    <n v="2"/>
    <n v="2"/>
    <n v="2"/>
    <n v="1"/>
    <x v="11"/>
    <x v="11"/>
  </r>
  <r>
    <n v="4"/>
    <s v="55+"/>
    <s v="Female"/>
    <s v="High School/Secondary Education"/>
    <x v="2"/>
    <s v="1-3 years"/>
    <n v="1"/>
    <n v="3"/>
    <n v="2"/>
    <n v="3"/>
    <n v="1"/>
    <n v="2"/>
    <n v="2"/>
    <n v="1"/>
    <n v="3"/>
    <n v="2"/>
    <n v="1"/>
    <n v="2"/>
    <n v="1"/>
    <n v="2"/>
    <n v="3"/>
    <n v="2"/>
    <n v="3"/>
    <n v="2"/>
    <n v="1"/>
    <n v="2"/>
    <n v="1"/>
    <n v="2"/>
    <n v="2"/>
    <n v="2"/>
    <n v="2"/>
    <n v="1"/>
    <n v="2"/>
    <n v="2"/>
    <n v="2"/>
    <n v="1"/>
    <n v="2"/>
    <n v="2"/>
    <n v="2"/>
    <n v="1"/>
    <x v="12"/>
    <x v="12"/>
  </r>
  <r>
    <n v="4"/>
    <s v="55+"/>
    <s v="Female"/>
    <s v="High School/Secondary Education"/>
    <x v="2"/>
    <s v="1-3 years"/>
    <n v="1"/>
    <n v="3"/>
    <n v="2"/>
    <n v="3"/>
    <n v="1"/>
    <n v="2"/>
    <n v="2"/>
    <n v="1"/>
    <n v="3"/>
    <n v="2"/>
    <n v="1"/>
    <n v="2"/>
    <n v="1"/>
    <n v="2"/>
    <n v="3"/>
    <n v="2"/>
    <n v="3"/>
    <n v="2"/>
    <n v="1"/>
    <n v="2"/>
    <n v="1"/>
    <n v="2"/>
    <n v="2"/>
    <n v="2"/>
    <n v="2"/>
    <n v="1"/>
    <n v="2"/>
    <n v="2"/>
    <n v="2"/>
    <n v="1"/>
    <n v="2"/>
    <n v="2"/>
    <n v="2"/>
    <n v="1"/>
    <x v="13"/>
    <x v="39"/>
  </r>
  <r>
    <n v="5"/>
    <s v="35-44"/>
    <s v="Female"/>
    <s v="Master's Degree"/>
    <x v="3"/>
    <s v="1-3 years"/>
    <n v="5"/>
    <n v="5"/>
    <n v="5"/>
    <n v="5"/>
    <n v="7"/>
    <n v="6"/>
    <n v="7"/>
    <n v="7"/>
    <n v="6"/>
    <n v="6"/>
    <n v="6"/>
    <n v="7"/>
    <n v="5"/>
    <n v="5"/>
    <n v="5"/>
    <n v="5"/>
    <n v="5"/>
    <n v="5"/>
    <n v="5"/>
    <n v="5"/>
    <n v="5"/>
    <n v="5"/>
    <n v="5"/>
    <n v="5"/>
    <n v="5"/>
    <n v="1"/>
    <n v="1"/>
    <n v="1"/>
    <n v="1"/>
    <n v="1"/>
    <n v="2"/>
    <n v="2"/>
    <n v="2"/>
    <n v="2"/>
    <x v="0"/>
    <x v="21"/>
  </r>
  <r>
    <n v="5"/>
    <s v="35-44"/>
    <s v="Female"/>
    <s v="Master's Degree"/>
    <x v="3"/>
    <s v="1-3 years"/>
    <n v="5"/>
    <n v="5"/>
    <n v="5"/>
    <n v="5"/>
    <n v="7"/>
    <n v="6"/>
    <n v="7"/>
    <n v="7"/>
    <n v="6"/>
    <n v="6"/>
    <n v="6"/>
    <n v="7"/>
    <n v="5"/>
    <n v="5"/>
    <n v="5"/>
    <n v="5"/>
    <n v="5"/>
    <n v="5"/>
    <n v="5"/>
    <n v="5"/>
    <n v="5"/>
    <n v="5"/>
    <n v="5"/>
    <n v="5"/>
    <n v="5"/>
    <n v="1"/>
    <n v="1"/>
    <n v="1"/>
    <n v="1"/>
    <n v="1"/>
    <n v="2"/>
    <n v="2"/>
    <n v="2"/>
    <n v="2"/>
    <x v="1"/>
    <x v="1"/>
  </r>
  <r>
    <n v="5"/>
    <s v="35-44"/>
    <s v="Female"/>
    <s v="Master's Degree"/>
    <x v="3"/>
    <s v="1-3 years"/>
    <n v="5"/>
    <n v="5"/>
    <n v="5"/>
    <n v="5"/>
    <n v="7"/>
    <n v="6"/>
    <n v="7"/>
    <n v="7"/>
    <n v="6"/>
    <n v="6"/>
    <n v="6"/>
    <n v="7"/>
    <n v="5"/>
    <n v="5"/>
    <n v="5"/>
    <n v="5"/>
    <n v="5"/>
    <n v="5"/>
    <n v="5"/>
    <n v="5"/>
    <n v="5"/>
    <n v="5"/>
    <n v="5"/>
    <n v="5"/>
    <n v="5"/>
    <n v="1"/>
    <n v="1"/>
    <n v="1"/>
    <n v="1"/>
    <n v="1"/>
    <n v="2"/>
    <n v="2"/>
    <n v="2"/>
    <n v="2"/>
    <x v="2"/>
    <x v="15"/>
  </r>
  <r>
    <n v="5"/>
    <s v="35-44"/>
    <s v="Female"/>
    <s v="Master's Degree"/>
    <x v="3"/>
    <s v="1-3 years"/>
    <n v="5"/>
    <n v="5"/>
    <n v="5"/>
    <n v="5"/>
    <n v="7"/>
    <n v="6"/>
    <n v="7"/>
    <n v="7"/>
    <n v="6"/>
    <n v="6"/>
    <n v="6"/>
    <n v="7"/>
    <n v="5"/>
    <n v="5"/>
    <n v="5"/>
    <n v="5"/>
    <n v="5"/>
    <n v="5"/>
    <n v="5"/>
    <n v="5"/>
    <n v="5"/>
    <n v="5"/>
    <n v="5"/>
    <n v="5"/>
    <n v="5"/>
    <n v="1"/>
    <n v="1"/>
    <n v="1"/>
    <n v="1"/>
    <n v="1"/>
    <n v="2"/>
    <n v="2"/>
    <n v="2"/>
    <n v="2"/>
    <x v="3"/>
    <x v="32"/>
  </r>
  <r>
    <n v="5"/>
    <s v="35-44"/>
    <s v="Female"/>
    <s v="Master's Degree"/>
    <x v="3"/>
    <s v="1-3 years"/>
    <n v="5"/>
    <n v="5"/>
    <n v="5"/>
    <n v="5"/>
    <n v="7"/>
    <n v="6"/>
    <n v="7"/>
    <n v="7"/>
    <n v="6"/>
    <n v="6"/>
    <n v="6"/>
    <n v="7"/>
    <n v="5"/>
    <n v="5"/>
    <n v="5"/>
    <n v="5"/>
    <n v="5"/>
    <n v="5"/>
    <n v="5"/>
    <n v="5"/>
    <n v="5"/>
    <n v="5"/>
    <n v="5"/>
    <n v="5"/>
    <n v="5"/>
    <n v="1"/>
    <n v="1"/>
    <n v="1"/>
    <n v="1"/>
    <n v="1"/>
    <n v="2"/>
    <n v="2"/>
    <n v="2"/>
    <n v="2"/>
    <x v="4"/>
    <x v="23"/>
  </r>
  <r>
    <n v="5"/>
    <s v="35-44"/>
    <s v="Female"/>
    <s v="Master's Degree"/>
    <x v="3"/>
    <s v="1-3 years"/>
    <n v="5"/>
    <n v="5"/>
    <n v="5"/>
    <n v="5"/>
    <n v="7"/>
    <n v="6"/>
    <n v="7"/>
    <n v="7"/>
    <n v="6"/>
    <n v="6"/>
    <n v="6"/>
    <n v="7"/>
    <n v="5"/>
    <n v="5"/>
    <n v="5"/>
    <n v="5"/>
    <n v="5"/>
    <n v="5"/>
    <n v="5"/>
    <n v="5"/>
    <n v="5"/>
    <n v="5"/>
    <n v="5"/>
    <n v="5"/>
    <n v="5"/>
    <n v="1"/>
    <n v="1"/>
    <n v="1"/>
    <n v="1"/>
    <n v="1"/>
    <n v="2"/>
    <n v="2"/>
    <n v="2"/>
    <n v="2"/>
    <x v="5"/>
    <x v="33"/>
  </r>
  <r>
    <n v="5"/>
    <s v="35-44"/>
    <s v="Female"/>
    <s v="Master's Degree"/>
    <x v="3"/>
    <s v="1-3 years"/>
    <n v="5"/>
    <n v="5"/>
    <n v="5"/>
    <n v="5"/>
    <n v="7"/>
    <n v="6"/>
    <n v="7"/>
    <n v="7"/>
    <n v="6"/>
    <n v="6"/>
    <n v="6"/>
    <n v="7"/>
    <n v="5"/>
    <n v="5"/>
    <n v="5"/>
    <n v="5"/>
    <n v="5"/>
    <n v="5"/>
    <n v="5"/>
    <n v="5"/>
    <n v="5"/>
    <n v="5"/>
    <n v="5"/>
    <n v="5"/>
    <n v="5"/>
    <n v="1"/>
    <n v="1"/>
    <n v="1"/>
    <n v="1"/>
    <n v="1"/>
    <n v="2"/>
    <n v="2"/>
    <n v="2"/>
    <n v="2"/>
    <x v="6"/>
    <x v="25"/>
  </r>
  <r>
    <n v="5"/>
    <s v="35-44"/>
    <s v="Female"/>
    <s v="Master's Degree"/>
    <x v="3"/>
    <s v="1-3 years"/>
    <n v="5"/>
    <n v="5"/>
    <n v="5"/>
    <n v="5"/>
    <n v="7"/>
    <n v="6"/>
    <n v="7"/>
    <n v="7"/>
    <n v="6"/>
    <n v="6"/>
    <n v="6"/>
    <n v="7"/>
    <n v="5"/>
    <n v="5"/>
    <n v="5"/>
    <n v="5"/>
    <n v="5"/>
    <n v="5"/>
    <n v="5"/>
    <n v="5"/>
    <n v="5"/>
    <n v="5"/>
    <n v="5"/>
    <n v="5"/>
    <n v="5"/>
    <n v="1"/>
    <n v="1"/>
    <n v="1"/>
    <n v="1"/>
    <n v="1"/>
    <n v="2"/>
    <n v="2"/>
    <n v="2"/>
    <n v="2"/>
    <x v="7"/>
    <x v="40"/>
  </r>
  <r>
    <n v="5"/>
    <s v="35-44"/>
    <s v="Female"/>
    <s v="Master's Degree"/>
    <x v="3"/>
    <s v="1-3 years"/>
    <n v="5"/>
    <n v="5"/>
    <n v="5"/>
    <n v="5"/>
    <n v="7"/>
    <n v="6"/>
    <n v="7"/>
    <n v="7"/>
    <n v="6"/>
    <n v="6"/>
    <n v="6"/>
    <n v="7"/>
    <n v="5"/>
    <n v="5"/>
    <n v="5"/>
    <n v="5"/>
    <n v="5"/>
    <n v="5"/>
    <n v="5"/>
    <n v="5"/>
    <n v="5"/>
    <n v="5"/>
    <n v="5"/>
    <n v="5"/>
    <n v="5"/>
    <n v="1"/>
    <n v="1"/>
    <n v="1"/>
    <n v="1"/>
    <n v="1"/>
    <n v="2"/>
    <n v="2"/>
    <n v="2"/>
    <n v="2"/>
    <x v="8"/>
    <x v="41"/>
  </r>
  <r>
    <n v="5"/>
    <s v="35-44"/>
    <s v="Female"/>
    <s v="Master's Degree"/>
    <x v="3"/>
    <s v="1-3 years"/>
    <n v="5"/>
    <n v="5"/>
    <n v="5"/>
    <n v="5"/>
    <n v="7"/>
    <n v="6"/>
    <n v="7"/>
    <n v="7"/>
    <n v="6"/>
    <n v="6"/>
    <n v="6"/>
    <n v="7"/>
    <n v="5"/>
    <n v="5"/>
    <n v="5"/>
    <n v="5"/>
    <n v="5"/>
    <n v="5"/>
    <n v="5"/>
    <n v="5"/>
    <n v="5"/>
    <n v="5"/>
    <n v="5"/>
    <n v="5"/>
    <n v="5"/>
    <n v="1"/>
    <n v="1"/>
    <n v="1"/>
    <n v="1"/>
    <n v="1"/>
    <n v="2"/>
    <n v="2"/>
    <n v="2"/>
    <n v="2"/>
    <x v="9"/>
    <x v="42"/>
  </r>
  <r>
    <n v="5"/>
    <s v="35-44"/>
    <s v="Female"/>
    <s v="Master's Degree"/>
    <x v="3"/>
    <s v="1-3 years"/>
    <n v="5"/>
    <n v="5"/>
    <n v="5"/>
    <n v="5"/>
    <n v="7"/>
    <n v="6"/>
    <n v="7"/>
    <n v="7"/>
    <n v="6"/>
    <n v="6"/>
    <n v="6"/>
    <n v="7"/>
    <n v="5"/>
    <n v="5"/>
    <n v="5"/>
    <n v="5"/>
    <n v="5"/>
    <n v="5"/>
    <n v="5"/>
    <n v="5"/>
    <n v="5"/>
    <n v="5"/>
    <n v="5"/>
    <n v="5"/>
    <n v="5"/>
    <n v="1"/>
    <n v="1"/>
    <n v="1"/>
    <n v="1"/>
    <n v="1"/>
    <n v="2"/>
    <n v="2"/>
    <n v="2"/>
    <n v="2"/>
    <x v="10"/>
    <x v="43"/>
  </r>
  <r>
    <n v="5"/>
    <s v="35-44"/>
    <s v="Female"/>
    <s v="Master's Degree"/>
    <x v="3"/>
    <s v="1-3 years"/>
    <n v="5"/>
    <n v="5"/>
    <n v="5"/>
    <n v="5"/>
    <n v="7"/>
    <n v="6"/>
    <n v="7"/>
    <n v="7"/>
    <n v="6"/>
    <n v="6"/>
    <n v="6"/>
    <n v="7"/>
    <n v="5"/>
    <n v="5"/>
    <n v="5"/>
    <n v="5"/>
    <n v="5"/>
    <n v="5"/>
    <n v="5"/>
    <n v="5"/>
    <n v="5"/>
    <n v="5"/>
    <n v="5"/>
    <n v="5"/>
    <n v="5"/>
    <n v="1"/>
    <n v="1"/>
    <n v="1"/>
    <n v="1"/>
    <n v="1"/>
    <n v="2"/>
    <n v="2"/>
    <n v="2"/>
    <n v="2"/>
    <x v="11"/>
    <x v="11"/>
  </r>
  <r>
    <n v="5"/>
    <s v="35-44"/>
    <s v="Female"/>
    <s v="Master's Degree"/>
    <x v="3"/>
    <s v="1-3 years"/>
    <n v="5"/>
    <n v="5"/>
    <n v="5"/>
    <n v="5"/>
    <n v="7"/>
    <n v="6"/>
    <n v="7"/>
    <n v="7"/>
    <n v="6"/>
    <n v="6"/>
    <n v="6"/>
    <n v="7"/>
    <n v="5"/>
    <n v="5"/>
    <n v="5"/>
    <n v="5"/>
    <n v="5"/>
    <n v="5"/>
    <n v="5"/>
    <n v="5"/>
    <n v="5"/>
    <n v="5"/>
    <n v="5"/>
    <n v="5"/>
    <n v="5"/>
    <n v="1"/>
    <n v="1"/>
    <n v="1"/>
    <n v="1"/>
    <n v="1"/>
    <n v="2"/>
    <n v="2"/>
    <n v="2"/>
    <n v="2"/>
    <x v="12"/>
    <x v="15"/>
  </r>
  <r>
    <n v="5"/>
    <s v="35-44"/>
    <s v="Female"/>
    <s v="Master's Degree"/>
    <x v="3"/>
    <s v="1-3 years"/>
    <n v="5"/>
    <n v="5"/>
    <n v="5"/>
    <n v="5"/>
    <n v="7"/>
    <n v="6"/>
    <n v="7"/>
    <n v="7"/>
    <n v="6"/>
    <n v="6"/>
    <n v="6"/>
    <n v="7"/>
    <n v="5"/>
    <n v="5"/>
    <n v="5"/>
    <n v="5"/>
    <n v="5"/>
    <n v="5"/>
    <n v="5"/>
    <n v="5"/>
    <n v="5"/>
    <n v="5"/>
    <n v="5"/>
    <n v="5"/>
    <n v="5"/>
    <n v="1"/>
    <n v="1"/>
    <n v="1"/>
    <n v="1"/>
    <n v="1"/>
    <n v="2"/>
    <n v="2"/>
    <n v="2"/>
    <n v="2"/>
    <x v="13"/>
    <x v="20"/>
  </r>
  <r>
    <n v="6"/>
    <s v="45-54"/>
    <s v="Female"/>
    <s v="Bachelor's Degree"/>
    <x v="4"/>
    <s v="3-5 years"/>
    <n v="5"/>
    <n v="5"/>
    <n v="5"/>
    <n v="5"/>
    <n v="7"/>
    <n v="7"/>
    <n v="7"/>
    <n v="7"/>
    <n v="7"/>
    <n v="7"/>
    <n v="7"/>
    <n v="7"/>
    <n v="5"/>
    <n v="5"/>
    <n v="5"/>
    <n v="5"/>
    <n v="5"/>
    <n v="5"/>
    <n v="5"/>
    <n v="5"/>
    <n v="5"/>
    <n v="5"/>
    <n v="5"/>
    <n v="5"/>
    <n v="1"/>
    <n v="1"/>
    <n v="1"/>
    <n v="1"/>
    <n v="1"/>
    <n v="1"/>
    <n v="1"/>
    <n v="1"/>
    <n v="1"/>
    <n v="1"/>
    <x v="0"/>
    <x v="44"/>
  </r>
  <r>
    <n v="6"/>
    <s v="45-54"/>
    <s v="Female"/>
    <s v="Bachelor's Degree"/>
    <x v="4"/>
    <s v="3-5 years"/>
    <n v="5"/>
    <n v="5"/>
    <n v="5"/>
    <n v="5"/>
    <n v="7"/>
    <n v="7"/>
    <n v="7"/>
    <n v="7"/>
    <n v="7"/>
    <n v="7"/>
    <n v="7"/>
    <n v="7"/>
    <n v="5"/>
    <n v="5"/>
    <n v="5"/>
    <n v="5"/>
    <n v="5"/>
    <n v="5"/>
    <n v="5"/>
    <n v="5"/>
    <n v="5"/>
    <n v="5"/>
    <n v="5"/>
    <n v="5"/>
    <n v="1"/>
    <n v="1"/>
    <n v="1"/>
    <n v="1"/>
    <n v="1"/>
    <n v="1"/>
    <n v="1"/>
    <n v="1"/>
    <n v="1"/>
    <n v="1"/>
    <x v="1"/>
    <x v="1"/>
  </r>
  <r>
    <n v="6"/>
    <s v="45-54"/>
    <s v="Female"/>
    <s v="Bachelor's Degree"/>
    <x v="4"/>
    <s v="3-5 years"/>
    <n v="5"/>
    <n v="5"/>
    <n v="5"/>
    <n v="5"/>
    <n v="7"/>
    <n v="7"/>
    <n v="7"/>
    <n v="7"/>
    <n v="7"/>
    <n v="7"/>
    <n v="7"/>
    <n v="7"/>
    <n v="5"/>
    <n v="5"/>
    <n v="5"/>
    <n v="5"/>
    <n v="5"/>
    <n v="5"/>
    <n v="5"/>
    <n v="5"/>
    <n v="5"/>
    <n v="5"/>
    <n v="5"/>
    <n v="5"/>
    <n v="1"/>
    <n v="1"/>
    <n v="1"/>
    <n v="1"/>
    <n v="1"/>
    <n v="1"/>
    <n v="1"/>
    <n v="1"/>
    <n v="1"/>
    <n v="1"/>
    <x v="2"/>
    <x v="15"/>
  </r>
  <r>
    <n v="6"/>
    <s v="45-54"/>
    <s v="Female"/>
    <s v="Bachelor's Degree"/>
    <x v="4"/>
    <s v="3-5 years"/>
    <n v="5"/>
    <n v="5"/>
    <n v="5"/>
    <n v="5"/>
    <n v="7"/>
    <n v="7"/>
    <n v="7"/>
    <n v="7"/>
    <n v="7"/>
    <n v="7"/>
    <n v="7"/>
    <n v="7"/>
    <n v="5"/>
    <n v="5"/>
    <n v="5"/>
    <n v="5"/>
    <n v="5"/>
    <n v="5"/>
    <n v="5"/>
    <n v="5"/>
    <n v="5"/>
    <n v="5"/>
    <n v="5"/>
    <n v="5"/>
    <n v="1"/>
    <n v="1"/>
    <n v="1"/>
    <n v="1"/>
    <n v="1"/>
    <n v="1"/>
    <n v="1"/>
    <n v="1"/>
    <n v="1"/>
    <n v="1"/>
    <x v="3"/>
    <x v="22"/>
  </r>
  <r>
    <n v="6"/>
    <s v="45-54"/>
    <s v="Female"/>
    <s v="Bachelor's Degree"/>
    <x v="4"/>
    <s v="3-5 years"/>
    <n v="5"/>
    <n v="5"/>
    <n v="5"/>
    <n v="5"/>
    <n v="7"/>
    <n v="7"/>
    <n v="7"/>
    <n v="7"/>
    <n v="7"/>
    <n v="7"/>
    <n v="7"/>
    <n v="7"/>
    <n v="5"/>
    <n v="5"/>
    <n v="5"/>
    <n v="5"/>
    <n v="5"/>
    <n v="5"/>
    <n v="5"/>
    <n v="5"/>
    <n v="5"/>
    <n v="5"/>
    <n v="5"/>
    <n v="5"/>
    <n v="1"/>
    <n v="1"/>
    <n v="1"/>
    <n v="1"/>
    <n v="1"/>
    <n v="1"/>
    <n v="1"/>
    <n v="1"/>
    <n v="1"/>
    <n v="1"/>
    <x v="4"/>
    <x v="23"/>
  </r>
  <r>
    <n v="6"/>
    <s v="45-54"/>
    <s v="Female"/>
    <s v="Bachelor's Degree"/>
    <x v="4"/>
    <s v="3-5 years"/>
    <n v="5"/>
    <n v="5"/>
    <n v="5"/>
    <n v="5"/>
    <n v="7"/>
    <n v="7"/>
    <n v="7"/>
    <n v="7"/>
    <n v="7"/>
    <n v="7"/>
    <n v="7"/>
    <n v="7"/>
    <n v="5"/>
    <n v="5"/>
    <n v="5"/>
    <n v="5"/>
    <n v="5"/>
    <n v="5"/>
    <n v="5"/>
    <n v="5"/>
    <n v="5"/>
    <n v="5"/>
    <n v="5"/>
    <n v="5"/>
    <n v="1"/>
    <n v="1"/>
    <n v="1"/>
    <n v="1"/>
    <n v="1"/>
    <n v="1"/>
    <n v="1"/>
    <n v="1"/>
    <n v="1"/>
    <n v="1"/>
    <x v="5"/>
    <x v="45"/>
  </r>
  <r>
    <n v="6"/>
    <s v="45-54"/>
    <s v="Female"/>
    <s v="Bachelor's Degree"/>
    <x v="4"/>
    <s v="3-5 years"/>
    <n v="5"/>
    <n v="5"/>
    <n v="5"/>
    <n v="5"/>
    <n v="7"/>
    <n v="7"/>
    <n v="7"/>
    <n v="7"/>
    <n v="7"/>
    <n v="7"/>
    <n v="7"/>
    <n v="7"/>
    <n v="5"/>
    <n v="5"/>
    <n v="5"/>
    <n v="5"/>
    <n v="5"/>
    <n v="5"/>
    <n v="5"/>
    <n v="5"/>
    <n v="5"/>
    <n v="5"/>
    <n v="5"/>
    <n v="5"/>
    <n v="1"/>
    <n v="1"/>
    <n v="1"/>
    <n v="1"/>
    <n v="1"/>
    <n v="1"/>
    <n v="1"/>
    <n v="1"/>
    <n v="1"/>
    <n v="1"/>
    <x v="6"/>
    <x v="3"/>
  </r>
  <r>
    <n v="6"/>
    <s v="45-54"/>
    <s v="Female"/>
    <s v="Bachelor's Degree"/>
    <x v="4"/>
    <s v="3-5 years"/>
    <n v="5"/>
    <n v="5"/>
    <n v="5"/>
    <n v="5"/>
    <n v="7"/>
    <n v="7"/>
    <n v="7"/>
    <n v="7"/>
    <n v="7"/>
    <n v="7"/>
    <n v="7"/>
    <n v="7"/>
    <n v="5"/>
    <n v="5"/>
    <n v="5"/>
    <n v="5"/>
    <n v="5"/>
    <n v="5"/>
    <n v="5"/>
    <n v="5"/>
    <n v="5"/>
    <n v="5"/>
    <n v="5"/>
    <n v="5"/>
    <n v="1"/>
    <n v="1"/>
    <n v="1"/>
    <n v="1"/>
    <n v="1"/>
    <n v="1"/>
    <n v="1"/>
    <n v="1"/>
    <n v="1"/>
    <n v="1"/>
    <x v="7"/>
    <x v="46"/>
  </r>
  <r>
    <n v="6"/>
    <s v="45-54"/>
    <s v="Female"/>
    <s v="Bachelor's Degree"/>
    <x v="4"/>
    <s v="3-5 years"/>
    <n v="5"/>
    <n v="5"/>
    <n v="5"/>
    <n v="5"/>
    <n v="7"/>
    <n v="7"/>
    <n v="7"/>
    <n v="7"/>
    <n v="7"/>
    <n v="7"/>
    <n v="7"/>
    <n v="7"/>
    <n v="5"/>
    <n v="5"/>
    <n v="5"/>
    <n v="5"/>
    <n v="5"/>
    <n v="5"/>
    <n v="5"/>
    <n v="5"/>
    <n v="5"/>
    <n v="5"/>
    <n v="5"/>
    <n v="5"/>
    <n v="1"/>
    <n v="1"/>
    <n v="1"/>
    <n v="1"/>
    <n v="1"/>
    <n v="1"/>
    <n v="1"/>
    <n v="1"/>
    <n v="1"/>
    <n v="1"/>
    <x v="8"/>
    <x v="41"/>
  </r>
  <r>
    <n v="6"/>
    <s v="45-54"/>
    <s v="Female"/>
    <s v="Bachelor's Degree"/>
    <x v="4"/>
    <s v="3-5 years"/>
    <n v="5"/>
    <n v="5"/>
    <n v="5"/>
    <n v="5"/>
    <n v="7"/>
    <n v="7"/>
    <n v="7"/>
    <n v="7"/>
    <n v="7"/>
    <n v="7"/>
    <n v="7"/>
    <n v="7"/>
    <n v="5"/>
    <n v="5"/>
    <n v="5"/>
    <n v="5"/>
    <n v="5"/>
    <n v="5"/>
    <n v="5"/>
    <n v="5"/>
    <n v="5"/>
    <n v="5"/>
    <n v="5"/>
    <n v="5"/>
    <n v="1"/>
    <n v="1"/>
    <n v="1"/>
    <n v="1"/>
    <n v="1"/>
    <n v="1"/>
    <n v="1"/>
    <n v="1"/>
    <n v="1"/>
    <n v="1"/>
    <x v="9"/>
    <x v="47"/>
  </r>
  <r>
    <n v="6"/>
    <s v="45-54"/>
    <s v="Female"/>
    <s v="Bachelor's Degree"/>
    <x v="4"/>
    <s v="3-5 years"/>
    <n v="5"/>
    <n v="5"/>
    <n v="5"/>
    <n v="5"/>
    <n v="7"/>
    <n v="7"/>
    <n v="7"/>
    <n v="7"/>
    <n v="7"/>
    <n v="7"/>
    <n v="7"/>
    <n v="7"/>
    <n v="5"/>
    <n v="5"/>
    <n v="5"/>
    <n v="5"/>
    <n v="5"/>
    <n v="5"/>
    <n v="5"/>
    <n v="5"/>
    <n v="5"/>
    <n v="5"/>
    <n v="5"/>
    <n v="5"/>
    <n v="1"/>
    <n v="1"/>
    <n v="1"/>
    <n v="1"/>
    <n v="1"/>
    <n v="1"/>
    <n v="1"/>
    <n v="1"/>
    <n v="1"/>
    <n v="1"/>
    <x v="10"/>
    <x v="48"/>
  </r>
  <r>
    <n v="6"/>
    <s v="45-54"/>
    <s v="Female"/>
    <s v="Bachelor's Degree"/>
    <x v="4"/>
    <s v="3-5 years"/>
    <n v="5"/>
    <n v="5"/>
    <n v="5"/>
    <n v="5"/>
    <n v="7"/>
    <n v="7"/>
    <n v="7"/>
    <n v="7"/>
    <n v="7"/>
    <n v="7"/>
    <n v="7"/>
    <n v="7"/>
    <n v="5"/>
    <n v="5"/>
    <n v="5"/>
    <n v="5"/>
    <n v="5"/>
    <n v="5"/>
    <n v="5"/>
    <n v="5"/>
    <n v="5"/>
    <n v="5"/>
    <n v="5"/>
    <n v="5"/>
    <n v="1"/>
    <n v="1"/>
    <n v="1"/>
    <n v="1"/>
    <n v="1"/>
    <n v="1"/>
    <n v="1"/>
    <n v="1"/>
    <n v="1"/>
    <n v="1"/>
    <x v="11"/>
    <x v="11"/>
  </r>
  <r>
    <n v="6"/>
    <s v="45-54"/>
    <s v="Female"/>
    <s v="Bachelor's Degree"/>
    <x v="4"/>
    <s v="3-5 years"/>
    <n v="5"/>
    <n v="5"/>
    <n v="5"/>
    <n v="5"/>
    <n v="7"/>
    <n v="7"/>
    <n v="7"/>
    <n v="7"/>
    <n v="7"/>
    <n v="7"/>
    <n v="7"/>
    <n v="7"/>
    <n v="5"/>
    <n v="5"/>
    <n v="5"/>
    <n v="5"/>
    <n v="5"/>
    <n v="5"/>
    <n v="5"/>
    <n v="5"/>
    <n v="5"/>
    <n v="5"/>
    <n v="5"/>
    <n v="5"/>
    <n v="1"/>
    <n v="1"/>
    <n v="1"/>
    <n v="1"/>
    <n v="1"/>
    <n v="1"/>
    <n v="1"/>
    <n v="1"/>
    <n v="1"/>
    <n v="1"/>
    <x v="12"/>
    <x v="15"/>
  </r>
  <r>
    <n v="6"/>
    <s v="45-54"/>
    <s v="Female"/>
    <s v="Bachelor's Degree"/>
    <x v="4"/>
    <s v="3-5 years"/>
    <n v="5"/>
    <n v="5"/>
    <n v="5"/>
    <n v="5"/>
    <n v="7"/>
    <n v="7"/>
    <n v="7"/>
    <n v="7"/>
    <n v="7"/>
    <n v="7"/>
    <n v="7"/>
    <n v="7"/>
    <n v="5"/>
    <n v="5"/>
    <n v="5"/>
    <n v="5"/>
    <n v="5"/>
    <n v="5"/>
    <n v="5"/>
    <n v="5"/>
    <n v="5"/>
    <n v="5"/>
    <n v="5"/>
    <n v="5"/>
    <n v="1"/>
    <n v="1"/>
    <n v="1"/>
    <n v="1"/>
    <n v="1"/>
    <n v="1"/>
    <n v="1"/>
    <n v="1"/>
    <n v="1"/>
    <n v="1"/>
    <x v="13"/>
    <x v="13"/>
  </r>
  <r>
    <n v="7"/>
    <s v="45-54"/>
    <s v="Male"/>
    <s v="Bachelor's Degree"/>
    <x v="1"/>
    <s v="More than 5 years"/>
    <n v="5"/>
    <n v="5"/>
    <n v="5"/>
    <n v="5"/>
    <n v="7"/>
    <n v="7"/>
    <n v="7"/>
    <n v="7"/>
    <n v="7"/>
    <n v="7"/>
    <n v="7"/>
    <n v="7"/>
    <n v="5"/>
    <n v="5"/>
    <n v="5"/>
    <n v="5"/>
    <n v="5"/>
    <n v="5"/>
    <n v="5"/>
    <n v="5"/>
    <n v="5"/>
    <n v="5"/>
    <n v="5"/>
    <n v="5"/>
    <n v="1"/>
    <n v="1"/>
    <n v="1"/>
    <n v="1"/>
    <n v="1"/>
    <n v="1"/>
    <n v="1"/>
    <n v="1"/>
    <n v="1"/>
    <n v="1"/>
    <x v="0"/>
    <x v="44"/>
  </r>
  <r>
    <n v="7"/>
    <s v="45-54"/>
    <s v="Male"/>
    <s v="Bachelor's Degree"/>
    <x v="1"/>
    <s v="More than 5 years"/>
    <n v="5"/>
    <n v="5"/>
    <n v="5"/>
    <n v="5"/>
    <n v="7"/>
    <n v="7"/>
    <n v="7"/>
    <n v="7"/>
    <n v="7"/>
    <n v="7"/>
    <n v="7"/>
    <n v="7"/>
    <n v="5"/>
    <n v="5"/>
    <n v="5"/>
    <n v="5"/>
    <n v="5"/>
    <n v="5"/>
    <n v="5"/>
    <n v="5"/>
    <n v="5"/>
    <n v="5"/>
    <n v="5"/>
    <n v="5"/>
    <n v="1"/>
    <n v="1"/>
    <n v="1"/>
    <n v="1"/>
    <n v="1"/>
    <n v="1"/>
    <n v="1"/>
    <n v="1"/>
    <n v="1"/>
    <n v="1"/>
    <x v="1"/>
    <x v="49"/>
  </r>
  <r>
    <n v="7"/>
    <s v="45-54"/>
    <s v="Male"/>
    <s v="Bachelor's Degree"/>
    <x v="1"/>
    <s v="More than 5 years"/>
    <n v="5"/>
    <n v="5"/>
    <n v="5"/>
    <n v="5"/>
    <n v="7"/>
    <n v="7"/>
    <n v="7"/>
    <n v="7"/>
    <n v="7"/>
    <n v="7"/>
    <n v="7"/>
    <n v="7"/>
    <n v="5"/>
    <n v="5"/>
    <n v="5"/>
    <n v="5"/>
    <n v="5"/>
    <n v="5"/>
    <n v="5"/>
    <n v="5"/>
    <n v="5"/>
    <n v="5"/>
    <n v="5"/>
    <n v="5"/>
    <n v="1"/>
    <n v="1"/>
    <n v="1"/>
    <n v="1"/>
    <n v="1"/>
    <n v="1"/>
    <n v="1"/>
    <n v="1"/>
    <n v="1"/>
    <n v="1"/>
    <x v="2"/>
    <x v="15"/>
  </r>
  <r>
    <n v="7"/>
    <s v="45-54"/>
    <s v="Male"/>
    <s v="Bachelor's Degree"/>
    <x v="1"/>
    <s v="More than 5 years"/>
    <n v="5"/>
    <n v="5"/>
    <n v="5"/>
    <n v="5"/>
    <n v="7"/>
    <n v="7"/>
    <n v="7"/>
    <n v="7"/>
    <n v="7"/>
    <n v="7"/>
    <n v="7"/>
    <n v="7"/>
    <n v="5"/>
    <n v="5"/>
    <n v="5"/>
    <n v="5"/>
    <n v="5"/>
    <n v="5"/>
    <n v="5"/>
    <n v="5"/>
    <n v="5"/>
    <n v="5"/>
    <n v="5"/>
    <n v="5"/>
    <n v="1"/>
    <n v="1"/>
    <n v="1"/>
    <n v="1"/>
    <n v="1"/>
    <n v="1"/>
    <n v="1"/>
    <n v="1"/>
    <n v="1"/>
    <n v="1"/>
    <x v="3"/>
    <x v="3"/>
  </r>
  <r>
    <n v="7"/>
    <s v="45-54"/>
    <s v="Male"/>
    <s v="Bachelor's Degree"/>
    <x v="1"/>
    <s v="More than 5 years"/>
    <n v="5"/>
    <n v="5"/>
    <n v="5"/>
    <n v="5"/>
    <n v="7"/>
    <n v="7"/>
    <n v="7"/>
    <n v="7"/>
    <n v="7"/>
    <n v="7"/>
    <n v="7"/>
    <n v="7"/>
    <n v="5"/>
    <n v="5"/>
    <n v="5"/>
    <n v="5"/>
    <n v="5"/>
    <n v="5"/>
    <n v="5"/>
    <n v="5"/>
    <n v="5"/>
    <n v="5"/>
    <n v="5"/>
    <n v="5"/>
    <n v="1"/>
    <n v="1"/>
    <n v="1"/>
    <n v="1"/>
    <n v="1"/>
    <n v="1"/>
    <n v="1"/>
    <n v="1"/>
    <n v="1"/>
    <n v="1"/>
    <x v="4"/>
    <x v="23"/>
  </r>
  <r>
    <n v="7"/>
    <s v="45-54"/>
    <s v="Male"/>
    <s v="Bachelor's Degree"/>
    <x v="1"/>
    <s v="More than 5 years"/>
    <n v="5"/>
    <n v="5"/>
    <n v="5"/>
    <n v="5"/>
    <n v="7"/>
    <n v="7"/>
    <n v="7"/>
    <n v="7"/>
    <n v="7"/>
    <n v="7"/>
    <n v="7"/>
    <n v="7"/>
    <n v="5"/>
    <n v="5"/>
    <n v="5"/>
    <n v="5"/>
    <n v="5"/>
    <n v="5"/>
    <n v="5"/>
    <n v="5"/>
    <n v="5"/>
    <n v="5"/>
    <n v="5"/>
    <n v="5"/>
    <n v="1"/>
    <n v="1"/>
    <n v="1"/>
    <n v="1"/>
    <n v="1"/>
    <n v="1"/>
    <n v="1"/>
    <n v="1"/>
    <n v="1"/>
    <n v="1"/>
    <x v="5"/>
    <x v="50"/>
  </r>
  <r>
    <n v="7"/>
    <s v="45-54"/>
    <s v="Male"/>
    <s v="Bachelor's Degree"/>
    <x v="1"/>
    <s v="More than 5 years"/>
    <n v="5"/>
    <n v="5"/>
    <n v="5"/>
    <n v="5"/>
    <n v="7"/>
    <n v="7"/>
    <n v="7"/>
    <n v="7"/>
    <n v="7"/>
    <n v="7"/>
    <n v="7"/>
    <n v="7"/>
    <n v="5"/>
    <n v="5"/>
    <n v="5"/>
    <n v="5"/>
    <n v="5"/>
    <n v="5"/>
    <n v="5"/>
    <n v="5"/>
    <n v="5"/>
    <n v="5"/>
    <n v="5"/>
    <n v="5"/>
    <n v="1"/>
    <n v="1"/>
    <n v="1"/>
    <n v="1"/>
    <n v="1"/>
    <n v="1"/>
    <n v="1"/>
    <n v="1"/>
    <n v="1"/>
    <n v="1"/>
    <x v="6"/>
    <x v="3"/>
  </r>
  <r>
    <n v="7"/>
    <s v="45-54"/>
    <s v="Male"/>
    <s v="Bachelor's Degree"/>
    <x v="1"/>
    <s v="More than 5 years"/>
    <n v="5"/>
    <n v="5"/>
    <n v="5"/>
    <n v="5"/>
    <n v="7"/>
    <n v="7"/>
    <n v="7"/>
    <n v="7"/>
    <n v="7"/>
    <n v="7"/>
    <n v="7"/>
    <n v="7"/>
    <n v="5"/>
    <n v="5"/>
    <n v="5"/>
    <n v="5"/>
    <n v="5"/>
    <n v="5"/>
    <n v="5"/>
    <n v="5"/>
    <n v="5"/>
    <n v="5"/>
    <n v="5"/>
    <n v="5"/>
    <n v="1"/>
    <n v="1"/>
    <n v="1"/>
    <n v="1"/>
    <n v="1"/>
    <n v="1"/>
    <n v="1"/>
    <n v="1"/>
    <n v="1"/>
    <n v="1"/>
    <x v="7"/>
    <x v="51"/>
  </r>
  <r>
    <n v="7"/>
    <s v="45-54"/>
    <s v="Male"/>
    <s v="Bachelor's Degree"/>
    <x v="1"/>
    <s v="More than 5 years"/>
    <n v="5"/>
    <n v="5"/>
    <n v="5"/>
    <n v="5"/>
    <n v="7"/>
    <n v="7"/>
    <n v="7"/>
    <n v="7"/>
    <n v="7"/>
    <n v="7"/>
    <n v="7"/>
    <n v="7"/>
    <n v="5"/>
    <n v="5"/>
    <n v="5"/>
    <n v="5"/>
    <n v="5"/>
    <n v="5"/>
    <n v="5"/>
    <n v="5"/>
    <n v="5"/>
    <n v="5"/>
    <n v="5"/>
    <n v="5"/>
    <n v="1"/>
    <n v="1"/>
    <n v="1"/>
    <n v="1"/>
    <n v="1"/>
    <n v="1"/>
    <n v="1"/>
    <n v="1"/>
    <n v="1"/>
    <n v="1"/>
    <x v="8"/>
    <x v="52"/>
  </r>
  <r>
    <n v="7"/>
    <s v="45-54"/>
    <s v="Male"/>
    <s v="Bachelor's Degree"/>
    <x v="1"/>
    <s v="More than 5 years"/>
    <n v="5"/>
    <n v="5"/>
    <n v="5"/>
    <n v="5"/>
    <n v="7"/>
    <n v="7"/>
    <n v="7"/>
    <n v="7"/>
    <n v="7"/>
    <n v="7"/>
    <n v="7"/>
    <n v="7"/>
    <n v="5"/>
    <n v="5"/>
    <n v="5"/>
    <n v="5"/>
    <n v="5"/>
    <n v="5"/>
    <n v="5"/>
    <n v="5"/>
    <n v="5"/>
    <n v="5"/>
    <n v="5"/>
    <n v="5"/>
    <n v="1"/>
    <n v="1"/>
    <n v="1"/>
    <n v="1"/>
    <n v="1"/>
    <n v="1"/>
    <n v="1"/>
    <n v="1"/>
    <n v="1"/>
    <n v="1"/>
    <x v="9"/>
    <x v="37"/>
  </r>
  <r>
    <n v="7"/>
    <s v="45-54"/>
    <s v="Male"/>
    <s v="Bachelor's Degree"/>
    <x v="1"/>
    <s v="More than 5 years"/>
    <n v="5"/>
    <n v="5"/>
    <n v="5"/>
    <n v="5"/>
    <n v="7"/>
    <n v="7"/>
    <n v="7"/>
    <n v="7"/>
    <n v="7"/>
    <n v="7"/>
    <n v="7"/>
    <n v="7"/>
    <n v="5"/>
    <n v="5"/>
    <n v="5"/>
    <n v="5"/>
    <n v="5"/>
    <n v="5"/>
    <n v="5"/>
    <n v="5"/>
    <n v="5"/>
    <n v="5"/>
    <n v="5"/>
    <n v="5"/>
    <n v="1"/>
    <n v="1"/>
    <n v="1"/>
    <n v="1"/>
    <n v="1"/>
    <n v="1"/>
    <n v="1"/>
    <n v="1"/>
    <n v="1"/>
    <n v="1"/>
    <x v="10"/>
    <x v="53"/>
  </r>
  <r>
    <n v="7"/>
    <s v="45-54"/>
    <s v="Male"/>
    <s v="Bachelor's Degree"/>
    <x v="1"/>
    <s v="More than 5 years"/>
    <n v="5"/>
    <n v="5"/>
    <n v="5"/>
    <n v="5"/>
    <n v="7"/>
    <n v="7"/>
    <n v="7"/>
    <n v="7"/>
    <n v="7"/>
    <n v="7"/>
    <n v="7"/>
    <n v="7"/>
    <n v="5"/>
    <n v="5"/>
    <n v="5"/>
    <n v="5"/>
    <n v="5"/>
    <n v="5"/>
    <n v="5"/>
    <n v="5"/>
    <n v="5"/>
    <n v="5"/>
    <n v="5"/>
    <n v="5"/>
    <n v="1"/>
    <n v="1"/>
    <n v="1"/>
    <n v="1"/>
    <n v="1"/>
    <n v="1"/>
    <n v="1"/>
    <n v="1"/>
    <n v="1"/>
    <n v="1"/>
    <x v="11"/>
    <x v="11"/>
  </r>
  <r>
    <n v="7"/>
    <s v="45-54"/>
    <s v="Male"/>
    <s v="Bachelor's Degree"/>
    <x v="1"/>
    <s v="More than 5 years"/>
    <n v="5"/>
    <n v="5"/>
    <n v="5"/>
    <n v="5"/>
    <n v="7"/>
    <n v="7"/>
    <n v="7"/>
    <n v="7"/>
    <n v="7"/>
    <n v="7"/>
    <n v="7"/>
    <n v="7"/>
    <n v="5"/>
    <n v="5"/>
    <n v="5"/>
    <n v="5"/>
    <n v="5"/>
    <n v="5"/>
    <n v="5"/>
    <n v="5"/>
    <n v="5"/>
    <n v="5"/>
    <n v="5"/>
    <n v="5"/>
    <n v="1"/>
    <n v="1"/>
    <n v="1"/>
    <n v="1"/>
    <n v="1"/>
    <n v="1"/>
    <n v="1"/>
    <n v="1"/>
    <n v="1"/>
    <n v="1"/>
    <x v="12"/>
    <x v="15"/>
  </r>
  <r>
    <n v="7"/>
    <s v="45-54"/>
    <s v="Male"/>
    <s v="Bachelor's Degree"/>
    <x v="1"/>
    <s v="More than 5 years"/>
    <n v="5"/>
    <n v="5"/>
    <n v="5"/>
    <n v="5"/>
    <n v="7"/>
    <n v="7"/>
    <n v="7"/>
    <n v="7"/>
    <n v="7"/>
    <n v="7"/>
    <n v="7"/>
    <n v="7"/>
    <n v="5"/>
    <n v="5"/>
    <n v="5"/>
    <n v="5"/>
    <n v="5"/>
    <n v="5"/>
    <n v="5"/>
    <n v="5"/>
    <n v="5"/>
    <n v="5"/>
    <n v="5"/>
    <n v="5"/>
    <n v="1"/>
    <n v="1"/>
    <n v="1"/>
    <n v="1"/>
    <n v="1"/>
    <n v="1"/>
    <n v="1"/>
    <n v="1"/>
    <n v="1"/>
    <n v="1"/>
    <x v="13"/>
    <x v="54"/>
  </r>
  <r>
    <n v="8"/>
    <s v="25-34"/>
    <s v="Male"/>
    <s v="Master's Degree"/>
    <x v="2"/>
    <s v="More than 5 years"/>
    <n v="4"/>
    <n v="4"/>
    <n v="4"/>
    <n v="4"/>
    <n v="3"/>
    <n v="3"/>
    <n v="3"/>
    <n v="3"/>
    <n v="3"/>
    <n v="3"/>
    <n v="3"/>
    <n v="3"/>
    <n v="3"/>
    <n v="3"/>
    <n v="3"/>
    <n v="3"/>
    <n v="4"/>
    <n v="3"/>
    <n v="3"/>
    <n v="3"/>
    <n v="3"/>
    <n v="3"/>
    <n v="3"/>
    <n v="3"/>
    <n v="1"/>
    <n v="1"/>
    <n v="2"/>
    <n v="2"/>
    <n v="2"/>
    <n v="2"/>
    <n v="1"/>
    <n v="2"/>
    <n v="3"/>
    <n v="1"/>
    <x v="0"/>
    <x v="0"/>
  </r>
  <r>
    <n v="8"/>
    <s v="25-34"/>
    <s v="Male"/>
    <s v="Master's Degree"/>
    <x v="2"/>
    <s v="More than 5 years"/>
    <n v="4"/>
    <n v="4"/>
    <n v="4"/>
    <n v="4"/>
    <n v="3"/>
    <n v="3"/>
    <n v="3"/>
    <n v="3"/>
    <n v="3"/>
    <n v="3"/>
    <n v="3"/>
    <n v="3"/>
    <n v="3"/>
    <n v="3"/>
    <n v="3"/>
    <n v="3"/>
    <n v="4"/>
    <n v="3"/>
    <n v="3"/>
    <n v="3"/>
    <n v="3"/>
    <n v="3"/>
    <n v="3"/>
    <n v="3"/>
    <n v="1"/>
    <n v="1"/>
    <n v="2"/>
    <n v="2"/>
    <n v="2"/>
    <n v="2"/>
    <n v="1"/>
    <n v="2"/>
    <n v="3"/>
    <n v="1"/>
    <x v="1"/>
    <x v="1"/>
  </r>
  <r>
    <n v="8"/>
    <s v="25-34"/>
    <s v="Male"/>
    <s v="Master's Degree"/>
    <x v="2"/>
    <s v="More than 5 years"/>
    <n v="4"/>
    <n v="4"/>
    <n v="4"/>
    <n v="4"/>
    <n v="3"/>
    <n v="3"/>
    <n v="3"/>
    <n v="3"/>
    <n v="3"/>
    <n v="3"/>
    <n v="3"/>
    <n v="3"/>
    <n v="3"/>
    <n v="3"/>
    <n v="3"/>
    <n v="3"/>
    <n v="4"/>
    <n v="3"/>
    <n v="3"/>
    <n v="3"/>
    <n v="3"/>
    <n v="3"/>
    <n v="3"/>
    <n v="3"/>
    <n v="1"/>
    <n v="1"/>
    <n v="2"/>
    <n v="2"/>
    <n v="2"/>
    <n v="2"/>
    <n v="1"/>
    <n v="2"/>
    <n v="3"/>
    <n v="1"/>
    <x v="2"/>
    <x v="2"/>
  </r>
  <r>
    <n v="8"/>
    <s v="25-34"/>
    <s v="Male"/>
    <s v="Master's Degree"/>
    <x v="2"/>
    <s v="More than 5 years"/>
    <n v="4"/>
    <n v="4"/>
    <n v="4"/>
    <n v="4"/>
    <n v="3"/>
    <n v="3"/>
    <n v="3"/>
    <n v="3"/>
    <n v="3"/>
    <n v="3"/>
    <n v="3"/>
    <n v="3"/>
    <n v="3"/>
    <n v="3"/>
    <n v="3"/>
    <n v="3"/>
    <n v="4"/>
    <n v="3"/>
    <n v="3"/>
    <n v="3"/>
    <n v="3"/>
    <n v="3"/>
    <n v="3"/>
    <n v="3"/>
    <n v="1"/>
    <n v="1"/>
    <n v="2"/>
    <n v="2"/>
    <n v="2"/>
    <n v="2"/>
    <n v="1"/>
    <n v="2"/>
    <n v="3"/>
    <n v="1"/>
    <x v="3"/>
    <x v="3"/>
  </r>
  <r>
    <n v="8"/>
    <s v="25-34"/>
    <s v="Male"/>
    <s v="Master's Degree"/>
    <x v="2"/>
    <s v="More than 5 years"/>
    <n v="4"/>
    <n v="4"/>
    <n v="4"/>
    <n v="4"/>
    <n v="3"/>
    <n v="3"/>
    <n v="3"/>
    <n v="3"/>
    <n v="3"/>
    <n v="3"/>
    <n v="3"/>
    <n v="3"/>
    <n v="3"/>
    <n v="3"/>
    <n v="3"/>
    <n v="3"/>
    <n v="4"/>
    <n v="3"/>
    <n v="3"/>
    <n v="3"/>
    <n v="3"/>
    <n v="3"/>
    <n v="3"/>
    <n v="3"/>
    <n v="1"/>
    <n v="1"/>
    <n v="2"/>
    <n v="2"/>
    <n v="2"/>
    <n v="2"/>
    <n v="1"/>
    <n v="2"/>
    <n v="3"/>
    <n v="1"/>
    <x v="4"/>
    <x v="23"/>
  </r>
  <r>
    <n v="8"/>
    <s v="25-34"/>
    <s v="Male"/>
    <s v="Master's Degree"/>
    <x v="2"/>
    <s v="More than 5 years"/>
    <n v="4"/>
    <n v="4"/>
    <n v="4"/>
    <n v="4"/>
    <n v="3"/>
    <n v="3"/>
    <n v="3"/>
    <n v="3"/>
    <n v="3"/>
    <n v="3"/>
    <n v="3"/>
    <n v="3"/>
    <n v="3"/>
    <n v="3"/>
    <n v="3"/>
    <n v="3"/>
    <n v="4"/>
    <n v="3"/>
    <n v="3"/>
    <n v="3"/>
    <n v="3"/>
    <n v="3"/>
    <n v="3"/>
    <n v="3"/>
    <n v="1"/>
    <n v="1"/>
    <n v="2"/>
    <n v="2"/>
    <n v="2"/>
    <n v="2"/>
    <n v="1"/>
    <n v="2"/>
    <n v="3"/>
    <n v="1"/>
    <x v="5"/>
    <x v="55"/>
  </r>
  <r>
    <n v="8"/>
    <s v="25-34"/>
    <s v="Male"/>
    <s v="Master's Degree"/>
    <x v="2"/>
    <s v="More than 5 years"/>
    <n v="4"/>
    <n v="4"/>
    <n v="4"/>
    <n v="4"/>
    <n v="3"/>
    <n v="3"/>
    <n v="3"/>
    <n v="3"/>
    <n v="3"/>
    <n v="3"/>
    <n v="3"/>
    <n v="3"/>
    <n v="3"/>
    <n v="3"/>
    <n v="3"/>
    <n v="3"/>
    <n v="4"/>
    <n v="3"/>
    <n v="3"/>
    <n v="3"/>
    <n v="3"/>
    <n v="3"/>
    <n v="3"/>
    <n v="3"/>
    <n v="1"/>
    <n v="1"/>
    <n v="2"/>
    <n v="2"/>
    <n v="2"/>
    <n v="2"/>
    <n v="1"/>
    <n v="2"/>
    <n v="3"/>
    <n v="1"/>
    <x v="6"/>
    <x v="6"/>
  </r>
  <r>
    <n v="8"/>
    <s v="25-34"/>
    <s v="Male"/>
    <s v="Master's Degree"/>
    <x v="2"/>
    <s v="More than 5 years"/>
    <n v="4"/>
    <n v="4"/>
    <n v="4"/>
    <n v="4"/>
    <n v="3"/>
    <n v="3"/>
    <n v="3"/>
    <n v="3"/>
    <n v="3"/>
    <n v="3"/>
    <n v="3"/>
    <n v="3"/>
    <n v="3"/>
    <n v="3"/>
    <n v="3"/>
    <n v="3"/>
    <n v="4"/>
    <n v="3"/>
    <n v="3"/>
    <n v="3"/>
    <n v="3"/>
    <n v="3"/>
    <n v="3"/>
    <n v="3"/>
    <n v="1"/>
    <n v="1"/>
    <n v="2"/>
    <n v="2"/>
    <n v="2"/>
    <n v="2"/>
    <n v="1"/>
    <n v="2"/>
    <n v="3"/>
    <n v="1"/>
    <x v="7"/>
    <x v="17"/>
  </r>
  <r>
    <n v="8"/>
    <s v="25-34"/>
    <s v="Male"/>
    <s v="Master's Degree"/>
    <x v="2"/>
    <s v="More than 5 years"/>
    <n v="4"/>
    <n v="4"/>
    <n v="4"/>
    <n v="4"/>
    <n v="3"/>
    <n v="3"/>
    <n v="3"/>
    <n v="3"/>
    <n v="3"/>
    <n v="3"/>
    <n v="3"/>
    <n v="3"/>
    <n v="3"/>
    <n v="3"/>
    <n v="3"/>
    <n v="3"/>
    <n v="4"/>
    <n v="3"/>
    <n v="3"/>
    <n v="3"/>
    <n v="3"/>
    <n v="3"/>
    <n v="3"/>
    <n v="3"/>
    <n v="1"/>
    <n v="1"/>
    <n v="2"/>
    <n v="2"/>
    <n v="2"/>
    <n v="2"/>
    <n v="1"/>
    <n v="2"/>
    <n v="3"/>
    <n v="1"/>
    <x v="8"/>
    <x v="52"/>
  </r>
  <r>
    <n v="8"/>
    <s v="25-34"/>
    <s v="Male"/>
    <s v="Master's Degree"/>
    <x v="2"/>
    <s v="More than 5 years"/>
    <n v="4"/>
    <n v="4"/>
    <n v="4"/>
    <n v="4"/>
    <n v="3"/>
    <n v="3"/>
    <n v="3"/>
    <n v="3"/>
    <n v="3"/>
    <n v="3"/>
    <n v="3"/>
    <n v="3"/>
    <n v="3"/>
    <n v="3"/>
    <n v="3"/>
    <n v="3"/>
    <n v="4"/>
    <n v="3"/>
    <n v="3"/>
    <n v="3"/>
    <n v="3"/>
    <n v="3"/>
    <n v="3"/>
    <n v="3"/>
    <n v="1"/>
    <n v="1"/>
    <n v="2"/>
    <n v="2"/>
    <n v="2"/>
    <n v="2"/>
    <n v="1"/>
    <n v="2"/>
    <n v="3"/>
    <n v="1"/>
    <x v="9"/>
    <x v="28"/>
  </r>
  <r>
    <n v="8"/>
    <s v="25-34"/>
    <s v="Male"/>
    <s v="Master's Degree"/>
    <x v="2"/>
    <s v="More than 5 years"/>
    <n v="4"/>
    <n v="4"/>
    <n v="4"/>
    <n v="4"/>
    <n v="3"/>
    <n v="3"/>
    <n v="3"/>
    <n v="3"/>
    <n v="3"/>
    <n v="3"/>
    <n v="3"/>
    <n v="3"/>
    <n v="3"/>
    <n v="3"/>
    <n v="3"/>
    <n v="3"/>
    <n v="4"/>
    <n v="3"/>
    <n v="3"/>
    <n v="3"/>
    <n v="3"/>
    <n v="3"/>
    <n v="3"/>
    <n v="3"/>
    <n v="1"/>
    <n v="1"/>
    <n v="2"/>
    <n v="2"/>
    <n v="2"/>
    <n v="2"/>
    <n v="1"/>
    <n v="2"/>
    <n v="3"/>
    <n v="1"/>
    <x v="10"/>
    <x v="56"/>
  </r>
  <r>
    <n v="8"/>
    <s v="25-34"/>
    <s v="Male"/>
    <s v="Master's Degree"/>
    <x v="2"/>
    <s v="More than 5 years"/>
    <n v="4"/>
    <n v="4"/>
    <n v="4"/>
    <n v="4"/>
    <n v="3"/>
    <n v="3"/>
    <n v="3"/>
    <n v="3"/>
    <n v="3"/>
    <n v="3"/>
    <n v="3"/>
    <n v="3"/>
    <n v="3"/>
    <n v="3"/>
    <n v="3"/>
    <n v="3"/>
    <n v="4"/>
    <n v="3"/>
    <n v="3"/>
    <n v="3"/>
    <n v="3"/>
    <n v="3"/>
    <n v="3"/>
    <n v="3"/>
    <n v="1"/>
    <n v="1"/>
    <n v="2"/>
    <n v="2"/>
    <n v="2"/>
    <n v="2"/>
    <n v="1"/>
    <n v="2"/>
    <n v="3"/>
    <n v="1"/>
    <x v="11"/>
    <x v="57"/>
  </r>
  <r>
    <n v="8"/>
    <s v="25-34"/>
    <s v="Male"/>
    <s v="Master's Degree"/>
    <x v="2"/>
    <s v="More than 5 years"/>
    <n v="4"/>
    <n v="4"/>
    <n v="4"/>
    <n v="4"/>
    <n v="3"/>
    <n v="3"/>
    <n v="3"/>
    <n v="3"/>
    <n v="3"/>
    <n v="3"/>
    <n v="3"/>
    <n v="3"/>
    <n v="3"/>
    <n v="3"/>
    <n v="3"/>
    <n v="3"/>
    <n v="4"/>
    <n v="3"/>
    <n v="3"/>
    <n v="3"/>
    <n v="3"/>
    <n v="3"/>
    <n v="3"/>
    <n v="3"/>
    <n v="1"/>
    <n v="1"/>
    <n v="2"/>
    <n v="2"/>
    <n v="2"/>
    <n v="2"/>
    <n v="1"/>
    <n v="2"/>
    <n v="3"/>
    <n v="1"/>
    <x v="12"/>
    <x v="2"/>
  </r>
  <r>
    <n v="8"/>
    <s v="25-34"/>
    <s v="Male"/>
    <s v="Master's Degree"/>
    <x v="2"/>
    <s v="More than 5 years"/>
    <n v="4"/>
    <n v="4"/>
    <n v="4"/>
    <n v="4"/>
    <n v="3"/>
    <n v="3"/>
    <n v="3"/>
    <n v="3"/>
    <n v="3"/>
    <n v="3"/>
    <n v="3"/>
    <n v="3"/>
    <n v="3"/>
    <n v="3"/>
    <n v="3"/>
    <n v="3"/>
    <n v="4"/>
    <n v="3"/>
    <n v="3"/>
    <n v="3"/>
    <n v="3"/>
    <n v="3"/>
    <n v="3"/>
    <n v="3"/>
    <n v="1"/>
    <n v="1"/>
    <n v="2"/>
    <n v="2"/>
    <n v="2"/>
    <n v="2"/>
    <n v="1"/>
    <n v="2"/>
    <n v="3"/>
    <n v="1"/>
    <x v="13"/>
    <x v="20"/>
  </r>
  <r>
    <n v="9"/>
    <s v="25-34"/>
    <s v="Male"/>
    <s v="Bachelor's Degree"/>
    <x v="2"/>
    <s v="More than 5 years"/>
    <n v="3"/>
    <n v="3"/>
    <n v="3"/>
    <n v="3"/>
    <n v="3"/>
    <n v="3"/>
    <n v="3"/>
    <n v="2"/>
    <n v="1"/>
    <n v="2"/>
    <n v="1"/>
    <n v="3"/>
    <n v="3"/>
    <n v="3"/>
    <n v="3"/>
    <n v="3"/>
    <n v="3"/>
    <n v="5"/>
    <n v="5"/>
    <n v="5"/>
    <n v="3"/>
    <n v="3"/>
    <n v="3"/>
    <n v="2"/>
    <n v="4"/>
    <n v="5"/>
    <n v="3"/>
    <n v="3"/>
    <n v="3"/>
    <n v="2"/>
    <n v="2"/>
    <n v="4"/>
    <n v="2"/>
    <n v="4"/>
    <x v="0"/>
    <x v="58"/>
  </r>
  <r>
    <n v="9"/>
    <s v="25-34"/>
    <s v="Male"/>
    <s v="Bachelor's Degree"/>
    <x v="2"/>
    <s v="More than 5 years"/>
    <n v="3"/>
    <n v="3"/>
    <n v="3"/>
    <n v="3"/>
    <n v="3"/>
    <n v="3"/>
    <n v="3"/>
    <n v="2"/>
    <n v="1"/>
    <n v="2"/>
    <n v="1"/>
    <n v="3"/>
    <n v="3"/>
    <n v="3"/>
    <n v="3"/>
    <n v="3"/>
    <n v="3"/>
    <n v="5"/>
    <n v="5"/>
    <n v="5"/>
    <n v="3"/>
    <n v="3"/>
    <n v="3"/>
    <n v="2"/>
    <n v="4"/>
    <n v="5"/>
    <n v="3"/>
    <n v="3"/>
    <n v="3"/>
    <n v="2"/>
    <n v="2"/>
    <n v="4"/>
    <n v="2"/>
    <n v="4"/>
    <x v="1"/>
    <x v="49"/>
  </r>
  <r>
    <n v="9"/>
    <s v="25-34"/>
    <s v="Male"/>
    <s v="Bachelor's Degree"/>
    <x v="2"/>
    <s v="More than 5 years"/>
    <n v="3"/>
    <n v="3"/>
    <n v="3"/>
    <n v="3"/>
    <n v="3"/>
    <n v="3"/>
    <n v="3"/>
    <n v="2"/>
    <n v="1"/>
    <n v="2"/>
    <n v="1"/>
    <n v="3"/>
    <n v="3"/>
    <n v="3"/>
    <n v="3"/>
    <n v="3"/>
    <n v="3"/>
    <n v="5"/>
    <n v="5"/>
    <n v="5"/>
    <n v="3"/>
    <n v="3"/>
    <n v="3"/>
    <n v="2"/>
    <n v="4"/>
    <n v="5"/>
    <n v="3"/>
    <n v="3"/>
    <n v="3"/>
    <n v="2"/>
    <n v="2"/>
    <n v="4"/>
    <n v="2"/>
    <n v="4"/>
    <x v="2"/>
    <x v="2"/>
  </r>
  <r>
    <n v="9"/>
    <s v="25-34"/>
    <s v="Male"/>
    <s v="Bachelor's Degree"/>
    <x v="2"/>
    <s v="More than 5 years"/>
    <n v="3"/>
    <n v="3"/>
    <n v="3"/>
    <n v="3"/>
    <n v="3"/>
    <n v="3"/>
    <n v="3"/>
    <n v="2"/>
    <n v="1"/>
    <n v="2"/>
    <n v="1"/>
    <n v="3"/>
    <n v="3"/>
    <n v="3"/>
    <n v="3"/>
    <n v="3"/>
    <n v="3"/>
    <n v="5"/>
    <n v="5"/>
    <n v="5"/>
    <n v="3"/>
    <n v="3"/>
    <n v="3"/>
    <n v="2"/>
    <n v="4"/>
    <n v="5"/>
    <n v="3"/>
    <n v="3"/>
    <n v="3"/>
    <n v="2"/>
    <n v="2"/>
    <n v="4"/>
    <n v="2"/>
    <n v="4"/>
    <x v="3"/>
    <x v="32"/>
  </r>
  <r>
    <n v="9"/>
    <s v="25-34"/>
    <s v="Male"/>
    <s v="Bachelor's Degree"/>
    <x v="2"/>
    <s v="More than 5 years"/>
    <n v="3"/>
    <n v="3"/>
    <n v="3"/>
    <n v="3"/>
    <n v="3"/>
    <n v="3"/>
    <n v="3"/>
    <n v="2"/>
    <n v="1"/>
    <n v="2"/>
    <n v="1"/>
    <n v="3"/>
    <n v="3"/>
    <n v="3"/>
    <n v="3"/>
    <n v="3"/>
    <n v="3"/>
    <n v="5"/>
    <n v="5"/>
    <n v="5"/>
    <n v="3"/>
    <n v="3"/>
    <n v="3"/>
    <n v="2"/>
    <n v="4"/>
    <n v="5"/>
    <n v="3"/>
    <n v="3"/>
    <n v="3"/>
    <n v="2"/>
    <n v="2"/>
    <n v="4"/>
    <n v="2"/>
    <n v="4"/>
    <x v="4"/>
    <x v="23"/>
  </r>
  <r>
    <n v="9"/>
    <s v="25-34"/>
    <s v="Male"/>
    <s v="Bachelor's Degree"/>
    <x v="2"/>
    <s v="More than 5 years"/>
    <n v="3"/>
    <n v="3"/>
    <n v="3"/>
    <n v="3"/>
    <n v="3"/>
    <n v="3"/>
    <n v="3"/>
    <n v="2"/>
    <n v="1"/>
    <n v="2"/>
    <n v="1"/>
    <n v="3"/>
    <n v="3"/>
    <n v="3"/>
    <n v="3"/>
    <n v="3"/>
    <n v="3"/>
    <n v="5"/>
    <n v="5"/>
    <n v="5"/>
    <n v="3"/>
    <n v="3"/>
    <n v="3"/>
    <n v="2"/>
    <n v="4"/>
    <n v="5"/>
    <n v="3"/>
    <n v="3"/>
    <n v="3"/>
    <n v="2"/>
    <n v="2"/>
    <n v="4"/>
    <n v="2"/>
    <n v="4"/>
    <x v="5"/>
    <x v="55"/>
  </r>
  <r>
    <n v="9"/>
    <s v="25-34"/>
    <s v="Male"/>
    <s v="Bachelor's Degree"/>
    <x v="2"/>
    <s v="More than 5 years"/>
    <n v="3"/>
    <n v="3"/>
    <n v="3"/>
    <n v="3"/>
    <n v="3"/>
    <n v="3"/>
    <n v="3"/>
    <n v="2"/>
    <n v="1"/>
    <n v="2"/>
    <n v="1"/>
    <n v="3"/>
    <n v="3"/>
    <n v="3"/>
    <n v="3"/>
    <n v="3"/>
    <n v="3"/>
    <n v="5"/>
    <n v="5"/>
    <n v="5"/>
    <n v="3"/>
    <n v="3"/>
    <n v="3"/>
    <n v="2"/>
    <n v="4"/>
    <n v="5"/>
    <n v="3"/>
    <n v="3"/>
    <n v="3"/>
    <n v="2"/>
    <n v="2"/>
    <n v="4"/>
    <n v="2"/>
    <n v="4"/>
    <x v="6"/>
    <x v="6"/>
  </r>
  <r>
    <n v="9"/>
    <s v="25-34"/>
    <s v="Male"/>
    <s v="Bachelor's Degree"/>
    <x v="2"/>
    <s v="More than 5 years"/>
    <n v="3"/>
    <n v="3"/>
    <n v="3"/>
    <n v="3"/>
    <n v="3"/>
    <n v="3"/>
    <n v="3"/>
    <n v="2"/>
    <n v="1"/>
    <n v="2"/>
    <n v="1"/>
    <n v="3"/>
    <n v="3"/>
    <n v="3"/>
    <n v="3"/>
    <n v="3"/>
    <n v="3"/>
    <n v="5"/>
    <n v="5"/>
    <n v="5"/>
    <n v="3"/>
    <n v="3"/>
    <n v="3"/>
    <n v="2"/>
    <n v="4"/>
    <n v="5"/>
    <n v="3"/>
    <n v="3"/>
    <n v="3"/>
    <n v="2"/>
    <n v="2"/>
    <n v="4"/>
    <n v="2"/>
    <n v="4"/>
    <x v="7"/>
    <x v="59"/>
  </r>
  <r>
    <n v="9"/>
    <s v="25-34"/>
    <s v="Male"/>
    <s v="Bachelor's Degree"/>
    <x v="2"/>
    <s v="More than 5 years"/>
    <n v="3"/>
    <n v="3"/>
    <n v="3"/>
    <n v="3"/>
    <n v="3"/>
    <n v="3"/>
    <n v="3"/>
    <n v="2"/>
    <n v="1"/>
    <n v="2"/>
    <n v="1"/>
    <n v="3"/>
    <n v="3"/>
    <n v="3"/>
    <n v="3"/>
    <n v="3"/>
    <n v="3"/>
    <n v="5"/>
    <n v="5"/>
    <n v="5"/>
    <n v="3"/>
    <n v="3"/>
    <n v="3"/>
    <n v="2"/>
    <n v="4"/>
    <n v="5"/>
    <n v="3"/>
    <n v="3"/>
    <n v="3"/>
    <n v="2"/>
    <n v="2"/>
    <n v="4"/>
    <n v="2"/>
    <n v="4"/>
    <x v="8"/>
    <x v="41"/>
  </r>
  <r>
    <n v="9"/>
    <s v="25-34"/>
    <s v="Male"/>
    <s v="Bachelor's Degree"/>
    <x v="2"/>
    <s v="More than 5 years"/>
    <n v="3"/>
    <n v="3"/>
    <n v="3"/>
    <n v="3"/>
    <n v="3"/>
    <n v="3"/>
    <n v="3"/>
    <n v="2"/>
    <n v="1"/>
    <n v="2"/>
    <n v="1"/>
    <n v="3"/>
    <n v="3"/>
    <n v="3"/>
    <n v="3"/>
    <n v="3"/>
    <n v="3"/>
    <n v="5"/>
    <n v="5"/>
    <n v="5"/>
    <n v="3"/>
    <n v="3"/>
    <n v="3"/>
    <n v="2"/>
    <n v="4"/>
    <n v="5"/>
    <n v="3"/>
    <n v="3"/>
    <n v="3"/>
    <n v="2"/>
    <n v="2"/>
    <n v="4"/>
    <n v="2"/>
    <n v="4"/>
    <x v="9"/>
    <x v="60"/>
  </r>
  <r>
    <n v="9"/>
    <s v="25-34"/>
    <s v="Male"/>
    <s v="Bachelor's Degree"/>
    <x v="2"/>
    <s v="More than 5 years"/>
    <n v="3"/>
    <n v="3"/>
    <n v="3"/>
    <n v="3"/>
    <n v="3"/>
    <n v="3"/>
    <n v="3"/>
    <n v="2"/>
    <n v="1"/>
    <n v="2"/>
    <n v="1"/>
    <n v="3"/>
    <n v="3"/>
    <n v="3"/>
    <n v="3"/>
    <n v="3"/>
    <n v="3"/>
    <n v="5"/>
    <n v="5"/>
    <n v="5"/>
    <n v="3"/>
    <n v="3"/>
    <n v="3"/>
    <n v="2"/>
    <n v="4"/>
    <n v="5"/>
    <n v="3"/>
    <n v="3"/>
    <n v="3"/>
    <n v="2"/>
    <n v="2"/>
    <n v="4"/>
    <n v="2"/>
    <n v="4"/>
    <x v="10"/>
    <x v="61"/>
  </r>
  <r>
    <n v="9"/>
    <s v="25-34"/>
    <s v="Male"/>
    <s v="Bachelor's Degree"/>
    <x v="2"/>
    <s v="More than 5 years"/>
    <n v="3"/>
    <n v="3"/>
    <n v="3"/>
    <n v="3"/>
    <n v="3"/>
    <n v="3"/>
    <n v="3"/>
    <n v="2"/>
    <n v="1"/>
    <n v="2"/>
    <n v="1"/>
    <n v="3"/>
    <n v="3"/>
    <n v="3"/>
    <n v="3"/>
    <n v="3"/>
    <n v="3"/>
    <n v="5"/>
    <n v="5"/>
    <n v="5"/>
    <n v="3"/>
    <n v="3"/>
    <n v="3"/>
    <n v="2"/>
    <n v="4"/>
    <n v="5"/>
    <n v="3"/>
    <n v="3"/>
    <n v="3"/>
    <n v="2"/>
    <n v="2"/>
    <n v="4"/>
    <n v="2"/>
    <n v="4"/>
    <x v="11"/>
    <x v="62"/>
  </r>
  <r>
    <n v="9"/>
    <s v="25-34"/>
    <s v="Male"/>
    <s v="Bachelor's Degree"/>
    <x v="2"/>
    <s v="More than 5 years"/>
    <n v="3"/>
    <n v="3"/>
    <n v="3"/>
    <n v="3"/>
    <n v="3"/>
    <n v="3"/>
    <n v="3"/>
    <n v="2"/>
    <n v="1"/>
    <n v="2"/>
    <n v="1"/>
    <n v="3"/>
    <n v="3"/>
    <n v="3"/>
    <n v="3"/>
    <n v="3"/>
    <n v="3"/>
    <n v="5"/>
    <n v="5"/>
    <n v="5"/>
    <n v="3"/>
    <n v="3"/>
    <n v="3"/>
    <n v="2"/>
    <n v="4"/>
    <n v="5"/>
    <n v="3"/>
    <n v="3"/>
    <n v="3"/>
    <n v="2"/>
    <n v="2"/>
    <n v="4"/>
    <n v="2"/>
    <n v="4"/>
    <x v="12"/>
    <x v="15"/>
  </r>
  <r>
    <n v="9"/>
    <s v="25-34"/>
    <s v="Male"/>
    <s v="Bachelor's Degree"/>
    <x v="2"/>
    <s v="More than 5 years"/>
    <n v="3"/>
    <n v="3"/>
    <n v="3"/>
    <n v="3"/>
    <n v="3"/>
    <n v="3"/>
    <n v="3"/>
    <n v="2"/>
    <n v="1"/>
    <n v="2"/>
    <n v="1"/>
    <n v="3"/>
    <n v="3"/>
    <n v="3"/>
    <n v="3"/>
    <n v="3"/>
    <n v="3"/>
    <n v="5"/>
    <n v="5"/>
    <n v="5"/>
    <n v="3"/>
    <n v="3"/>
    <n v="3"/>
    <n v="2"/>
    <n v="4"/>
    <n v="5"/>
    <n v="3"/>
    <n v="3"/>
    <n v="3"/>
    <n v="2"/>
    <n v="2"/>
    <n v="4"/>
    <n v="2"/>
    <n v="4"/>
    <x v="13"/>
    <x v="63"/>
  </r>
  <r>
    <n v="10"/>
    <s v="25-34"/>
    <s v="Male"/>
    <s v="Bachelor's Degree"/>
    <x v="2"/>
    <s v="1-3 years"/>
    <n v="5"/>
    <n v="5"/>
    <n v="4"/>
    <n v="5"/>
    <n v="6"/>
    <n v="7"/>
    <n v="5"/>
    <n v="4"/>
    <n v="6"/>
    <n v="5"/>
    <n v="6"/>
    <n v="7"/>
    <n v="5"/>
    <n v="4"/>
    <n v="5"/>
    <n v="4"/>
    <n v="4"/>
    <n v="4"/>
    <n v="4"/>
    <n v="3"/>
    <n v="3"/>
    <n v="4"/>
    <n v="4"/>
    <n v="4"/>
    <n v="3"/>
    <n v="3"/>
    <n v="1"/>
    <n v="2"/>
    <n v="1"/>
    <n v="1"/>
    <n v="1"/>
    <n v="1"/>
    <n v="2"/>
    <n v="1"/>
    <x v="0"/>
    <x v="0"/>
  </r>
  <r>
    <n v="10"/>
    <s v="25-34"/>
    <s v="Male"/>
    <s v="Bachelor's Degree"/>
    <x v="2"/>
    <s v="1-3 years"/>
    <n v="5"/>
    <n v="5"/>
    <n v="4"/>
    <n v="5"/>
    <n v="6"/>
    <n v="7"/>
    <n v="5"/>
    <n v="4"/>
    <n v="6"/>
    <n v="5"/>
    <n v="6"/>
    <n v="7"/>
    <n v="5"/>
    <n v="4"/>
    <n v="5"/>
    <n v="4"/>
    <n v="4"/>
    <n v="4"/>
    <n v="4"/>
    <n v="3"/>
    <n v="3"/>
    <n v="4"/>
    <n v="4"/>
    <n v="4"/>
    <n v="3"/>
    <n v="3"/>
    <n v="1"/>
    <n v="2"/>
    <n v="1"/>
    <n v="1"/>
    <n v="1"/>
    <n v="1"/>
    <n v="2"/>
    <n v="1"/>
    <x v="1"/>
    <x v="1"/>
  </r>
  <r>
    <n v="10"/>
    <s v="25-34"/>
    <s v="Male"/>
    <s v="Bachelor's Degree"/>
    <x v="2"/>
    <s v="1-3 years"/>
    <n v="5"/>
    <n v="5"/>
    <n v="4"/>
    <n v="5"/>
    <n v="6"/>
    <n v="7"/>
    <n v="5"/>
    <n v="4"/>
    <n v="6"/>
    <n v="5"/>
    <n v="6"/>
    <n v="7"/>
    <n v="5"/>
    <n v="4"/>
    <n v="5"/>
    <n v="4"/>
    <n v="4"/>
    <n v="4"/>
    <n v="4"/>
    <n v="3"/>
    <n v="3"/>
    <n v="4"/>
    <n v="4"/>
    <n v="4"/>
    <n v="3"/>
    <n v="3"/>
    <n v="1"/>
    <n v="2"/>
    <n v="1"/>
    <n v="1"/>
    <n v="1"/>
    <n v="1"/>
    <n v="2"/>
    <n v="1"/>
    <x v="2"/>
    <x v="31"/>
  </r>
  <r>
    <n v="10"/>
    <s v="25-34"/>
    <s v="Male"/>
    <s v="Bachelor's Degree"/>
    <x v="2"/>
    <s v="1-3 years"/>
    <n v="5"/>
    <n v="5"/>
    <n v="4"/>
    <n v="5"/>
    <n v="6"/>
    <n v="7"/>
    <n v="5"/>
    <n v="4"/>
    <n v="6"/>
    <n v="5"/>
    <n v="6"/>
    <n v="7"/>
    <n v="5"/>
    <n v="4"/>
    <n v="5"/>
    <n v="4"/>
    <n v="4"/>
    <n v="4"/>
    <n v="4"/>
    <n v="3"/>
    <n v="3"/>
    <n v="4"/>
    <n v="4"/>
    <n v="4"/>
    <n v="3"/>
    <n v="3"/>
    <n v="1"/>
    <n v="2"/>
    <n v="1"/>
    <n v="1"/>
    <n v="1"/>
    <n v="1"/>
    <n v="2"/>
    <n v="1"/>
    <x v="3"/>
    <x v="22"/>
  </r>
  <r>
    <n v="10"/>
    <s v="25-34"/>
    <s v="Male"/>
    <s v="Bachelor's Degree"/>
    <x v="2"/>
    <s v="1-3 years"/>
    <n v="5"/>
    <n v="5"/>
    <n v="4"/>
    <n v="5"/>
    <n v="6"/>
    <n v="7"/>
    <n v="5"/>
    <n v="4"/>
    <n v="6"/>
    <n v="5"/>
    <n v="6"/>
    <n v="7"/>
    <n v="5"/>
    <n v="4"/>
    <n v="5"/>
    <n v="4"/>
    <n v="4"/>
    <n v="4"/>
    <n v="4"/>
    <n v="3"/>
    <n v="3"/>
    <n v="4"/>
    <n v="4"/>
    <n v="4"/>
    <n v="3"/>
    <n v="3"/>
    <n v="1"/>
    <n v="2"/>
    <n v="1"/>
    <n v="1"/>
    <n v="1"/>
    <n v="1"/>
    <n v="2"/>
    <n v="1"/>
    <x v="4"/>
    <x v="23"/>
  </r>
  <r>
    <n v="10"/>
    <s v="25-34"/>
    <s v="Male"/>
    <s v="Bachelor's Degree"/>
    <x v="2"/>
    <s v="1-3 years"/>
    <n v="5"/>
    <n v="5"/>
    <n v="4"/>
    <n v="5"/>
    <n v="6"/>
    <n v="7"/>
    <n v="5"/>
    <n v="4"/>
    <n v="6"/>
    <n v="5"/>
    <n v="6"/>
    <n v="7"/>
    <n v="5"/>
    <n v="4"/>
    <n v="5"/>
    <n v="4"/>
    <n v="4"/>
    <n v="4"/>
    <n v="4"/>
    <n v="3"/>
    <n v="3"/>
    <n v="4"/>
    <n v="4"/>
    <n v="4"/>
    <n v="3"/>
    <n v="3"/>
    <n v="1"/>
    <n v="2"/>
    <n v="1"/>
    <n v="1"/>
    <n v="1"/>
    <n v="1"/>
    <n v="2"/>
    <n v="1"/>
    <x v="5"/>
    <x v="33"/>
  </r>
  <r>
    <n v="10"/>
    <s v="25-34"/>
    <s v="Male"/>
    <s v="Bachelor's Degree"/>
    <x v="2"/>
    <s v="1-3 years"/>
    <n v="5"/>
    <n v="5"/>
    <n v="4"/>
    <n v="5"/>
    <n v="6"/>
    <n v="7"/>
    <n v="5"/>
    <n v="4"/>
    <n v="6"/>
    <n v="5"/>
    <n v="6"/>
    <n v="7"/>
    <n v="5"/>
    <n v="4"/>
    <n v="5"/>
    <n v="4"/>
    <n v="4"/>
    <n v="4"/>
    <n v="4"/>
    <n v="3"/>
    <n v="3"/>
    <n v="4"/>
    <n v="4"/>
    <n v="4"/>
    <n v="3"/>
    <n v="3"/>
    <n v="1"/>
    <n v="2"/>
    <n v="1"/>
    <n v="1"/>
    <n v="1"/>
    <n v="1"/>
    <n v="2"/>
    <n v="1"/>
    <x v="6"/>
    <x v="6"/>
  </r>
  <r>
    <n v="10"/>
    <s v="25-34"/>
    <s v="Male"/>
    <s v="Bachelor's Degree"/>
    <x v="2"/>
    <s v="1-3 years"/>
    <n v="5"/>
    <n v="5"/>
    <n v="4"/>
    <n v="5"/>
    <n v="6"/>
    <n v="7"/>
    <n v="5"/>
    <n v="4"/>
    <n v="6"/>
    <n v="5"/>
    <n v="6"/>
    <n v="7"/>
    <n v="5"/>
    <n v="4"/>
    <n v="5"/>
    <n v="4"/>
    <n v="4"/>
    <n v="4"/>
    <n v="4"/>
    <n v="3"/>
    <n v="3"/>
    <n v="4"/>
    <n v="4"/>
    <n v="4"/>
    <n v="3"/>
    <n v="3"/>
    <n v="1"/>
    <n v="2"/>
    <n v="1"/>
    <n v="1"/>
    <n v="1"/>
    <n v="1"/>
    <n v="2"/>
    <n v="1"/>
    <x v="7"/>
    <x v="64"/>
  </r>
  <r>
    <n v="10"/>
    <s v="25-34"/>
    <s v="Male"/>
    <s v="Bachelor's Degree"/>
    <x v="2"/>
    <s v="1-3 years"/>
    <n v="5"/>
    <n v="5"/>
    <n v="4"/>
    <n v="5"/>
    <n v="6"/>
    <n v="7"/>
    <n v="5"/>
    <n v="4"/>
    <n v="6"/>
    <n v="5"/>
    <n v="6"/>
    <n v="7"/>
    <n v="5"/>
    <n v="4"/>
    <n v="5"/>
    <n v="4"/>
    <n v="4"/>
    <n v="4"/>
    <n v="4"/>
    <n v="3"/>
    <n v="3"/>
    <n v="4"/>
    <n v="4"/>
    <n v="4"/>
    <n v="3"/>
    <n v="3"/>
    <n v="1"/>
    <n v="2"/>
    <n v="1"/>
    <n v="1"/>
    <n v="1"/>
    <n v="1"/>
    <n v="2"/>
    <n v="1"/>
    <x v="8"/>
    <x v="65"/>
  </r>
  <r>
    <n v="10"/>
    <s v="25-34"/>
    <s v="Male"/>
    <s v="Bachelor's Degree"/>
    <x v="2"/>
    <s v="1-3 years"/>
    <n v="5"/>
    <n v="5"/>
    <n v="4"/>
    <n v="5"/>
    <n v="6"/>
    <n v="7"/>
    <n v="5"/>
    <n v="4"/>
    <n v="6"/>
    <n v="5"/>
    <n v="6"/>
    <n v="7"/>
    <n v="5"/>
    <n v="4"/>
    <n v="5"/>
    <n v="4"/>
    <n v="4"/>
    <n v="4"/>
    <n v="4"/>
    <n v="3"/>
    <n v="3"/>
    <n v="4"/>
    <n v="4"/>
    <n v="4"/>
    <n v="3"/>
    <n v="3"/>
    <n v="1"/>
    <n v="2"/>
    <n v="1"/>
    <n v="1"/>
    <n v="1"/>
    <n v="1"/>
    <n v="2"/>
    <n v="1"/>
    <x v="9"/>
    <x v="60"/>
  </r>
  <r>
    <n v="10"/>
    <s v="25-34"/>
    <s v="Male"/>
    <s v="Bachelor's Degree"/>
    <x v="2"/>
    <s v="1-3 years"/>
    <n v="5"/>
    <n v="5"/>
    <n v="4"/>
    <n v="5"/>
    <n v="6"/>
    <n v="7"/>
    <n v="5"/>
    <n v="4"/>
    <n v="6"/>
    <n v="5"/>
    <n v="6"/>
    <n v="7"/>
    <n v="5"/>
    <n v="4"/>
    <n v="5"/>
    <n v="4"/>
    <n v="4"/>
    <n v="4"/>
    <n v="4"/>
    <n v="3"/>
    <n v="3"/>
    <n v="4"/>
    <n v="4"/>
    <n v="4"/>
    <n v="3"/>
    <n v="3"/>
    <n v="1"/>
    <n v="2"/>
    <n v="1"/>
    <n v="1"/>
    <n v="1"/>
    <n v="1"/>
    <n v="2"/>
    <n v="1"/>
    <x v="10"/>
    <x v="43"/>
  </r>
  <r>
    <n v="10"/>
    <s v="25-34"/>
    <s v="Male"/>
    <s v="Bachelor's Degree"/>
    <x v="2"/>
    <s v="1-3 years"/>
    <n v="5"/>
    <n v="5"/>
    <n v="4"/>
    <n v="5"/>
    <n v="6"/>
    <n v="7"/>
    <n v="5"/>
    <n v="4"/>
    <n v="6"/>
    <n v="5"/>
    <n v="6"/>
    <n v="7"/>
    <n v="5"/>
    <n v="4"/>
    <n v="5"/>
    <n v="4"/>
    <n v="4"/>
    <n v="4"/>
    <n v="4"/>
    <n v="3"/>
    <n v="3"/>
    <n v="4"/>
    <n v="4"/>
    <n v="4"/>
    <n v="3"/>
    <n v="3"/>
    <n v="1"/>
    <n v="2"/>
    <n v="1"/>
    <n v="1"/>
    <n v="1"/>
    <n v="1"/>
    <n v="2"/>
    <n v="1"/>
    <x v="11"/>
    <x v="11"/>
  </r>
  <r>
    <n v="10"/>
    <s v="25-34"/>
    <s v="Male"/>
    <s v="Bachelor's Degree"/>
    <x v="2"/>
    <s v="1-3 years"/>
    <n v="5"/>
    <n v="5"/>
    <n v="4"/>
    <n v="5"/>
    <n v="6"/>
    <n v="7"/>
    <n v="5"/>
    <n v="4"/>
    <n v="6"/>
    <n v="5"/>
    <n v="6"/>
    <n v="7"/>
    <n v="5"/>
    <n v="4"/>
    <n v="5"/>
    <n v="4"/>
    <n v="4"/>
    <n v="4"/>
    <n v="4"/>
    <n v="3"/>
    <n v="3"/>
    <n v="4"/>
    <n v="4"/>
    <n v="4"/>
    <n v="3"/>
    <n v="3"/>
    <n v="1"/>
    <n v="2"/>
    <n v="1"/>
    <n v="1"/>
    <n v="1"/>
    <n v="1"/>
    <n v="2"/>
    <n v="1"/>
    <x v="12"/>
    <x v="2"/>
  </r>
  <r>
    <n v="10"/>
    <s v="25-34"/>
    <s v="Male"/>
    <s v="Bachelor's Degree"/>
    <x v="2"/>
    <s v="1-3 years"/>
    <n v="5"/>
    <n v="5"/>
    <n v="4"/>
    <n v="5"/>
    <n v="6"/>
    <n v="7"/>
    <n v="5"/>
    <n v="4"/>
    <n v="6"/>
    <n v="5"/>
    <n v="6"/>
    <n v="7"/>
    <n v="5"/>
    <n v="4"/>
    <n v="5"/>
    <n v="4"/>
    <n v="4"/>
    <n v="4"/>
    <n v="4"/>
    <n v="3"/>
    <n v="3"/>
    <n v="4"/>
    <n v="4"/>
    <n v="4"/>
    <n v="3"/>
    <n v="3"/>
    <n v="1"/>
    <n v="2"/>
    <n v="1"/>
    <n v="1"/>
    <n v="1"/>
    <n v="1"/>
    <n v="2"/>
    <n v="1"/>
    <x v="13"/>
    <x v="66"/>
  </r>
  <r>
    <n v="11"/>
    <s v="55+"/>
    <s v="Male"/>
    <s v="Bachelor's Degree"/>
    <x v="2"/>
    <s v="More than 5 years"/>
    <n v="3"/>
    <n v="3"/>
    <n v="4"/>
    <n v="4"/>
    <n v="5"/>
    <n v="6"/>
    <n v="5"/>
    <n v="7"/>
    <n v="7"/>
    <n v="7"/>
    <n v="2"/>
    <n v="3"/>
    <n v="5"/>
    <n v="5"/>
    <n v="5"/>
    <n v="3"/>
    <n v="4"/>
    <n v="4"/>
    <n v="3"/>
    <n v="5"/>
    <n v="5"/>
    <n v="5"/>
    <n v="5"/>
    <n v="3"/>
    <n v="1"/>
    <n v="2"/>
    <n v="2"/>
    <n v="1"/>
    <n v="1"/>
    <n v="1"/>
    <n v="1"/>
    <n v="1"/>
    <n v="2"/>
    <n v="2"/>
    <x v="0"/>
    <x v="0"/>
  </r>
  <r>
    <n v="11"/>
    <s v="55+"/>
    <s v="Male"/>
    <s v="Bachelor's Degree"/>
    <x v="2"/>
    <s v="More than 5 years"/>
    <n v="3"/>
    <n v="3"/>
    <n v="4"/>
    <n v="4"/>
    <n v="5"/>
    <n v="6"/>
    <n v="5"/>
    <n v="7"/>
    <n v="7"/>
    <n v="7"/>
    <n v="2"/>
    <n v="3"/>
    <n v="5"/>
    <n v="5"/>
    <n v="5"/>
    <n v="3"/>
    <n v="4"/>
    <n v="4"/>
    <n v="3"/>
    <n v="5"/>
    <n v="5"/>
    <n v="5"/>
    <n v="5"/>
    <n v="3"/>
    <n v="1"/>
    <n v="2"/>
    <n v="2"/>
    <n v="1"/>
    <n v="1"/>
    <n v="1"/>
    <n v="1"/>
    <n v="1"/>
    <n v="2"/>
    <n v="2"/>
    <x v="1"/>
    <x v="49"/>
  </r>
  <r>
    <n v="11"/>
    <s v="55+"/>
    <s v="Male"/>
    <s v="Bachelor's Degree"/>
    <x v="2"/>
    <s v="More than 5 years"/>
    <n v="3"/>
    <n v="3"/>
    <n v="4"/>
    <n v="4"/>
    <n v="5"/>
    <n v="6"/>
    <n v="5"/>
    <n v="7"/>
    <n v="7"/>
    <n v="7"/>
    <n v="2"/>
    <n v="3"/>
    <n v="5"/>
    <n v="5"/>
    <n v="5"/>
    <n v="3"/>
    <n v="4"/>
    <n v="4"/>
    <n v="3"/>
    <n v="5"/>
    <n v="5"/>
    <n v="5"/>
    <n v="5"/>
    <n v="3"/>
    <n v="1"/>
    <n v="2"/>
    <n v="2"/>
    <n v="1"/>
    <n v="1"/>
    <n v="1"/>
    <n v="1"/>
    <n v="1"/>
    <n v="2"/>
    <n v="2"/>
    <x v="2"/>
    <x v="31"/>
  </r>
  <r>
    <n v="11"/>
    <s v="55+"/>
    <s v="Male"/>
    <s v="Bachelor's Degree"/>
    <x v="2"/>
    <s v="More than 5 years"/>
    <n v="3"/>
    <n v="3"/>
    <n v="4"/>
    <n v="4"/>
    <n v="5"/>
    <n v="6"/>
    <n v="5"/>
    <n v="7"/>
    <n v="7"/>
    <n v="7"/>
    <n v="2"/>
    <n v="3"/>
    <n v="5"/>
    <n v="5"/>
    <n v="5"/>
    <n v="3"/>
    <n v="4"/>
    <n v="4"/>
    <n v="3"/>
    <n v="5"/>
    <n v="5"/>
    <n v="5"/>
    <n v="5"/>
    <n v="3"/>
    <n v="1"/>
    <n v="2"/>
    <n v="2"/>
    <n v="1"/>
    <n v="1"/>
    <n v="1"/>
    <n v="1"/>
    <n v="1"/>
    <n v="2"/>
    <n v="2"/>
    <x v="3"/>
    <x v="22"/>
  </r>
  <r>
    <n v="11"/>
    <s v="55+"/>
    <s v="Male"/>
    <s v="Bachelor's Degree"/>
    <x v="2"/>
    <s v="More than 5 years"/>
    <n v="3"/>
    <n v="3"/>
    <n v="4"/>
    <n v="4"/>
    <n v="5"/>
    <n v="6"/>
    <n v="5"/>
    <n v="7"/>
    <n v="7"/>
    <n v="7"/>
    <n v="2"/>
    <n v="3"/>
    <n v="5"/>
    <n v="5"/>
    <n v="5"/>
    <n v="3"/>
    <n v="4"/>
    <n v="4"/>
    <n v="3"/>
    <n v="5"/>
    <n v="5"/>
    <n v="5"/>
    <n v="5"/>
    <n v="3"/>
    <n v="1"/>
    <n v="2"/>
    <n v="2"/>
    <n v="1"/>
    <n v="1"/>
    <n v="1"/>
    <n v="1"/>
    <n v="1"/>
    <n v="2"/>
    <n v="2"/>
    <x v="4"/>
    <x v="23"/>
  </r>
  <r>
    <n v="11"/>
    <s v="55+"/>
    <s v="Male"/>
    <s v="Bachelor's Degree"/>
    <x v="2"/>
    <s v="More than 5 years"/>
    <n v="3"/>
    <n v="3"/>
    <n v="4"/>
    <n v="4"/>
    <n v="5"/>
    <n v="6"/>
    <n v="5"/>
    <n v="7"/>
    <n v="7"/>
    <n v="7"/>
    <n v="2"/>
    <n v="3"/>
    <n v="5"/>
    <n v="5"/>
    <n v="5"/>
    <n v="3"/>
    <n v="4"/>
    <n v="4"/>
    <n v="3"/>
    <n v="5"/>
    <n v="5"/>
    <n v="5"/>
    <n v="5"/>
    <n v="3"/>
    <n v="1"/>
    <n v="2"/>
    <n v="2"/>
    <n v="1"/>
    <n v="1"/>
    <n v="1"/>
    <n v="1"/>
    <n v="1"/>
    <n v="2"/>
    <n v="2"/>
    <x v="5"/>
    <x v="5"/>
  </r>
  <r>
    <n v="11"/>
    <s v="55+"/>
    <s v="Male"/>
    <s v="Bachelor's Degree"/>
    <x v="2"/>
    <s v="More than 5 years"/>
    <n v="3"/>
    <n v="3"/>
    <n v="4"/>
    <n v="4"/>
    <n v="5"/>
    <n v="6"/>
    <n v="5"/>
    <n v="7"/>
    <n v="7"/>
    <n v="7"/>
    <n v="2"/>
    <n v="3"/>
    <n v="5"/>
    <n v="5"/>
    <n v="5"/>
    <n v="3"/>
    <n v="4"/>
    <n v="4"/>
    <n v="3"/>
    <n v="5"/>
    <n v="5"/>
    <n v="5"/>
    <n v="5"/>
    <n v="3"/>
    <n v="1"/>
    <n v="2"/>
    <n v="2"/>
    <n v="1"/>
    <n v="1"/>
    <n v="1"/>
    <n v="1"/>
    <n v="1"/>
    <n v="2"/>
    <n v="2"/>
    <x v="6"/>
    <x v="6"/>
  </r>
  <r>
    <n v="11"/>
    <s v="55+"/>
    <s v="Male"/>
    <s v="Bachelor's Degree"/>
    <x v="2"/>
    <s v="More than 5 years"/>
    <n v="3"/>
    <n v="3"/>
    <n v="4"/>
    <n v="4"/>
    <n v="5"/>
    <n v="6"/>
    <n v="5"/>
    <n v="7"/>
    <n v="7"/>
    <n v="7"/>
    <n v="2"/>
    <n v="3"/>
    <n v="5"/>
    <n v="5"/>
    <n v="5"/>
    <n v="3"/>
    <n v="4"/>
    <n v="4"/>
    <n v="3"/>
    <n v="5"/>
    <n v="5"/>
    <n v="5"/>
    <n v="5"/>
    <n v="3"/>
    <n v="1"/>
    <n v="2"/>
    <n v="2"/>
    <n v="1"/>
    <n v="1"/>
    <n v="1"/>
    <n v="1"/>
    <n v="1"/>
    <n v="2"/>
    <n v="2"/>
    <x v="7"/>
    <x v="67"/>
  </r>
  <r>
    <n v="11"/>
    <s v="55+"/>
    <s v="Male"/>
    <s v="Bachelor's Degree"/>
    <x v="2"/>
    <s v="More than 5 years"/>
    <n v="3"/>
    <n v="3"/>
    <n v="4"/>
    <n v="4"/>
    <n v="5"/>
    <n v="6"/>
    <n v="5"/>
    <n v="7"/>
    <n v="7"/>
    <n v="7"/>
    <n v="2"/>
    <n v="3"/>
    <n v="5"/>
    <n v="5"/>
    <n v="5"/>
    <n v="3"/>
    <n v="4"/>
    <n v="4"/>
    <n v="3"/>
    <n v="5"/>
    <n v="5"/>
    <n v="5"/>
    <n v="5"/>
    <n v="3"/>
    <n v="1"/>
    <n v="2"/>
    <n v="2"/>
    <n v="1"/>
    <n v="1"/>
    <n v="1"/>
    <n v="1"/>
    <n v="1"/>
    <n v="2"/>
    <n v="2"/>
    <x v="8"/>
    <x v="8"/>
  </r>
  <r>
    <n v="11"/>
    <s v="55+"/>
    <s v="Male"/>
    <s v="Bachelor's Degree"/>
    <x v="2"/>
    <s v="More than 5 years"/>
    <n v="3"/>
    <n v="3"/>
    <n v="4"/>
    <n v="4"/>
    <n v="5"/>
    <n v="6"/>
    <n v="5"/>
    <n v="7"/>
    <n v="7"/>
    <n v="7"/>
    <n v="2"/>
    <n v="3"/>
    <n v="5"/>
    <n v="5"/>
    <n v="5"/>
    <n v="3"/>
    <n v="4"/>
    <n v="4"/>
    <n v="3"/>
    <n v="5"/>
    <n v="5"/>
    <n v="5"/>
    <n v="5"/>
    <n v="3"/>
    <n v="1"/>
    <n v="2"/>
    <n v="2"/>
    <n v="1"/>
    <n v="1"/>
    <n v="1"/>
    <n v="1"/>
    <n v="1"/>
    <n v="2"/>
    <n v="2"/>
    <x v="9"/>
    <x v="60"/>
  </r>
  <r>
    <n v="11"/>
    <s v="55+"/>
    <s v="Male"/>
    <s v="Bachelor's Degree"/>
    <x v="2"/>
    <s v="More than 5 years"/>
    <n v="3"/>
    <n v="3"/>
    <n v="4"/>
    <n v="4"/>
    <n v="5"/>
    <n v="6"/>
    <n v="5"/>
    <n v="7"/>
    <n v="7"/>
    <n v="7"/>
    <n v="2"/>
    <n v="3"/>
    <n v="5"/>
    <n v="5"/>
    <n v="5"/>
    <n v="3"/>
    <n v="4"/>
    <n v="4"/>
    <n v="3"/>
    <n v="5"/>
    <n v="5"/>
    <n v="5"/>
    <n v="5"/>
    <n v="3"/>
    <n v="1"/>
    <n v="2"/>
    <n v="2"/>
    <n v="1"/>
    <n v="1"/>
    <n v="1"/>
    <n v="1"/>
    <n v="1"/>
    <n v="2"/>
    <n v="2"/>
    <x v="10"/>
    <x v="68"/>
  </r>
  <r>
    <n v="11"/>
    <s v="55+"/>
    <s v="Male"/>
    <s v="Bachelor's Degree"/>
    <x v="2"/>
    <s v="More than 5 years"/>
    <n v="3"/>
    <n v="3"/>
    <n v="4"/>
    <n v="4"/>
    <n v="5"/>
    <n v="6"/>
    <n v="5"/>
    <n v="7"/>
    <n v="7"/>
    <n v="7"/>
    <n v="2"/>
    <n v="3"/>
    <n v="5"/>
    <n v="5"/>
    <n v="5"/>
    <n v="3"/>
    <n v="4"/>
    <n v="4"/>
    <n v="3"/>
    <n v="5"/>
    <n v="5"/>
    <n v="5"/>
    <n v="5"/>
    <n v="3"/>
    <n v="1"/>
    <n v="2"/>
    <n v="2"/>
    <n v="1"/>
    <n v="1"/>
    <n v="1"/>
    <n v="1"/>
    <n v="1"/>
    <n v="2"/>
    <n v="2"/>
    <x v="11"/>
    <x v="57"/>
  </r>
  <r>
    <n v="11"/>
    <s v="55+"/>
    <s v="Male"/>
    <s v="Bachelor's Degree"/>
    <x v="2"/>
    <s v="More than 5 years"/>
    <n v="3"/>
    <n v="3"/>
    <n v="4"/>
    <n v="4"/>
    <n v="5"/>
    <n v="6"/>
    <n v="5"/>
    <n v="7"/>
    <n v="7"/>
    <n v="7"/>
    <n v="2"/>
    <n v="3"/>
    <n v="5"/>
    <n v="5"/>
    <n v="5"/>
    <n v="3"/>
    <n v="4"/>
    <n v="4"/>
    <n v="3"/>
    <n v="5"/>
    <n v="5"/>
    <n v="5"/>
    <n v="5"/>
    <n v="3"/>
    <n v="1"/>
    <n v="2"/>
    <n v="2"/>
    <n v="1"/>
    <n v="1"/>
    <n v="1"/>
    <n v="1"/>
    <n v="1"/>
    <n v="2"/>
    <n v="2"/>
    <x v="12"/>
    <x v="15"/>
  </r>
  <r>
    <n v="11"/>
    <s v="55+"/>
    <s v="Male"/>
    <s v="Bachelor's Degree"/>
    <x v="2"/>
    <s v="More than 5 years"/>
    <n v="3"/>
    <n v="3"/>
    <n v="4"/>
    <n v="4"/>
    <n v="5"/>
    <n v="6"/>
    <n v="5"/>
    <n v="7"/>
    <n v="7"/>
    <n v="7"/>
    <n v="2"/>
    <n v="3"/>
    <n v="5"/>
    <n v="5"/>
    <n v="5"/>
    <n v="3"/>
    <n v="4"/>
    <n v="4"/>
    <n v="3"/>
    <n v="5"/>
    <n v="5"/>
    <n v="5"/>
    <n v="5"/>
    <n v="3"/>
    <n v="1"/>
    <n v="2"/>
    <n v="2"/>
    <n v="1"/>
    <n v="1"/>
    <n v="1"/>
    <n v="1"/>
    <n v="1"/>
    <n v="2"/>
    <n v="2"/>
    <x v="13"/>
    <x v="69"/>
  </r>
  <r>
    <n v="12"/>
    <s v="55+"/>
    <s v="Male"/>
    <s v="Bachelor's Degree"/>
    <x v="5"/>
    <s v="More than 5 years"/>
    <n v="3"/>
    <n v="4"/>
    <n v="4"/>
    <n v="5"/>
    <n v="5"/>
    <n v="6"/>
    <n v="6"/>
    <n v="7"/>
    <n v="2"/>
    <n v="3"/>
    <n v="4"/>
    <n v="5"/>
    <n v="5"/>
    <n v="3"/>
    <n v="4"/>
    <n v="2"/>
    <n v="3"/>
    <n v="2"/>
    <n v="2"/>
    <n v="5"/>
    <n v="4"/>
    <n v="2"/>
    <n v="5"/>
    <n v="4"/>
    <n v="3"/>
    <n v="1"/>
    <n v="3"/>
    <n v="2"/>
    <n v="3"/>
    <n v="1"/>
    <n v="1"/>
    <n v="3"/>
    <n v="2"/>
    <n v="4"/>
    <x v="0"/>
    <x v="0"/>
  </r>
  <r>
    <n v="12"/>
    <s v="55+"/>
    <s v="Male"/>
    <s v="Bachelor's Degree"/>
    <x v="5"/>
    <s v="More than 5 years"/>
    <n v="3"/>
    <n v="4"/>
    <n v="4"/>
    <n v="5"/>
    <n v="5"/>
    <n v="6"/>
    <n v="6"/>
    <n v="7"/>
    <n v="2"/>
    <n v="3"/>
    <n v="4"/>
    <n v="5"/>
    <n v="5"/>
    <n v="3"/>
    <n v="4"/>
    <n v="2"/>
    <n v="3"/>
    <n v="2"/>
    <n v="2"/>
    <n v="5"/>
    <n v="4"/>
    <n v="2"/>
    <n v="5"/>
    <n v="4"/>
    <n v="3"/>
    <n v="1"/>
    <n v="3"/>
    <n v="2"/>
    <n v="3"/>
    <n v="1"/>
    <n v="1"/>
    <n v="3"/>
    <n v="2"/>
    <n v="4"/>
    <x v="1"/>
    <x v="1"/>
  </r>
  <r>
    <n v="12"/>
    <s v="55+"/>
    <s v="Male"/>
    <s v="Bachelor's Degree"/>
    <x v="5"/>
    <s v="More than 5 years"/>
    <n v="3"/>
    <n v="4"/>
    <n v="4"/>
    <n v="5"/>
    <n v="5"/>
    <n v="6"/>
    <n v="6"/>
    <n v="7"/>
    <n v="2"/>
    <n v="3"/>
    <n v="4"/>
    <n v="5"/>
    <n v="5"/>
    <n v="3"/>
    <n v="4"/>
    <n v="2"/>
    <n v="3"/>
    <n v="2"/>
    <n v="2"/>
    <n v="5"/>
    <n v="4"/>
    <n v="2"/>
    <n v="5"/>
    <n v="4"/>
    <n v="3"/>
    <n v="1"/>
    <n v="3"/>
    <n v="2"/>
    <n v="3"/>
    <n v="1"/>
    <n v="1"/>
    <n v="3"/>
    <n v="2"/>
    <n v="4"/>
    <x v="2"/>
    <x v="2"/>
  </r>
  <r>
    <n v="12"/>
    <s v="55+"/>
    <s v="Male"/>
    <s v="Bachelor's Degree"/>
    <x v="5"/>
    <s v="More than 5 years"/>
    <n v="3"/>
    <n v="4"/>
    <n v="4"/>
    <n v="5"/>
    <n v="5"/>
    <n v="6"/>
    <n v="6"/>
    <n v="7"/>
    <n v="2"/>
    <n v="3"/>
    <n v="4"/>
    <n v="5"/>
    <n v="5"/>
    <n v="3"/>
    <n v="4"/>
    <n v="2"/>
    <n v="3"/>
    <n v="2"/>
    <n v="2"/>
    <n v="5"/>
    <n v="4"/>
    <n v="2"/>
    <n v="5"/>
    <n v="4"/>
    <n v="3"/>
    <n v="1"/>
    <n v="3"/>
    <n v="2"/>
    <n v="3"/>
    <n v="1"/>
    <n v="1"/>
    <n v="3"/>
    <n v="2"/>
    <n v="4"/>
    <x v="3"/>
    <x v="22"/>
  </r>
  <r>
    <n v="12"/>
    <s v="55+"/>
    <s v="Male"/>
    <s v="Bachelor's Degree"/>
    <x v="5"/>
    <s v="More than 5 years"/>
    <n v="3"/>
    <n v="4"/>
    <n v="4"/>
    <n v="5"/>
    <n v="5"/>
    <n v="6"/>
    <n v="6"/>
    <n v="7"/>
    <n v="2"/>
    <n v="3"/>
    <n v="4"/>
    <n v="5"/>
    <n v="5"/>
    <n v="3"/>
    <n v="4"/>
    <n v="2"/>
    <n v="3"/>
    <n v="2"/>
    <n v="2"/>
    <n v="5"/>
    <n v="4"/>
    <n v="2"/>
    <n v="5"/>
    <n v="4"/>
    <n v="3"/>
    <n v="1"/>
    <n v="3"/>
    <n v="2"/>
    <n v="3"/>
    <n v="1"/>
    <n v="1"/>
    <n v="3"/>
    <n v="2"/>
    <n v="4"/>
    <x v="4"/>
    <x v="23"/>
  </r>
  <r>
    <n v="12"/>
    <s v="55+"/>
    <s v="Male"/>
    <s v="Bachelor's Degree"/>
    <x v="5"/>
    <s v="More than 5 years"/>
    <n v="3"/>
    <n v="4"/>
    <n v="4"/>
    <n v="5"/>
    <n v="5"/>
    <n v="6"/>
    <n v="6"/>
    <n v="7"/>
    <n v="2"/>
    <n v="3"/>
    <n v="4"/>
    <n v="5"/>
    <n v="5"/>
    <n v="3"/>
    <n v="4"/>
    <n v="2"/>
    <n v="3"/>
    <n v="2"/>
    <n v="2"/>
    <n v="5"/>
    <n v="4"/>
    <n v="2"/>
    <n v="5"/>
    <n v="4"/>
    <n v="3"/>
    <n v="1"/>
    <n v="3"/>
    <n v="2"/>
    <n v="3"/>
    <n v="1"/>
    <n v="1"/>
    <n v="3"/>
    <n v="2"/>
    <n v="4"/>
    <x v="5"/>
    <x v="33"/>
  </r>
  <r>
    <n v="12"/>
    <s v="55+"/>
    <s v="Male"/>
    <s v="Bachelor's Degree"/>
    <x v="5"/>
    <s v="More than 5 years"/>
    <n v="3"/>
    <n v="4"/>
    <n v="4"/>
    <n v="5"/>
    <n v="5"/>
    <n v="6"/>
    <n v="6"/>
    <n v="7"/>
    <n v="2"/>
    <n v="3"/>
    <n v="4"/>
    <n v="5"/>
    <n v="5"/>
    <n v="3"/>
    <n v="4"/>
    <n v="2"/>
    <n v="3"/>
    <n v="2"/>
    <n v="2"/>
    <n v="5"/>
    <n v="4"/>
    <n v="2"/>
    <n v="5"/>
    <n v="4"/>
    <n v="3"/>
    <n v="1"/>
    <n v="3"/>
    <n v="2"/>
    <n v="3"/>
    <n v="1"/>
    <n v="1"/>
    <n v="3"/>
    <n v="2"/>
    <n v="4"/>
    <x v="6"/>
    <x v="34"/>
  </r>
  <r>
    <n v="12"/>
    <s v="55+"/>
    <s v="Male"/>
    <s v="Bachelor's Degree"/>
    <x v="5"/>
    <s v="More than 5 years"/>
    <n v="3"/>
    <n v="4"/>
    <n v="4"/>
    <n v="5"/>
    <n v="5"/>
    <n v="6"/>
    <n v="6"/>
    <n v="7"/>
    <n v="2"/>
    <n v="3"/>
    <n v="4"/>
    <n v="5"/>
    <n v="5"/>
    <n v="3"/>
    <n v="4"/>
    <n v="2"/>
    <n v="3"/>
    <n v="2"/>
    <n v="2"/>
    <n v="5"/>
    <n v="4"/>
    <n v="2"/>
    <n v="5"/>
    <n v="4"/>
    <n v="3"/>
    <n v="1"/>
    <n v="3"/>
    <n v="2"/>
    <n v="3"/>
    <n v="1"/>
    <n v="1"/>
    <n v="3"/>
    <n v="2"/>
    <n v="4"/>
    <x v="7"/>
    <x v="70"/>
  </r>
  <r>
    <n v="12"/>
    <s v="55+"/>
    <s v="Male"/>
    <s v="Bachelor's Degree"/>
    <x v="5"/>
    <s v="More than 5 years"/>
    <n v="3"/>
    <n v="4"/>
    <n v="4"/>
    <n v="5"/>
    <n v="5"/>
    <n v="6"/>
    <n v="6"/>
    <n v="7"/>
    <n v="2"/>
    <n v="3"/>
    <n v="4"/>
    <n v="5"/>
    <n v="5"/>
    <n v="3"/>
    <n v="4"/>
    <n v="2"/>
    <n v="3"/>
    <n v="2"/>
    <n v="2"/>
    <n v="5"/>
    <n v="4"/>
    <n v="2"/>
    <n v="5"/>
    <n v="4"/>
    <n v="3"/>
    <n v="1"/>
    <n v="3"/>
    <n v="2"/>
    <n v="3"/>
    <n v="1"/>
    <n v="1"/>
    <n v="3"/>
    <n v="2"/>
    <n v="4"/>
    <x v="8"/>
    <x v="65"/>
  </r>
  <r>
    <n v="12"/>
    <s v="55+"/>
    <s v="Male"/>
    <s v="Bachelor's Degree"/>
    <x v="5"/>
    <s v="More than 5 years"/>
    <n v="3"/>
    <n v="4"/>
    <n v="4"/>
    <n v="5"/>
    <n v="5"/>
    <n v="6"/>
    <n v="6"/>
    <n v="7"/>
    <n v="2"/>
    <n v="3"/>
    <n v="4"/>
    <n v="5"/>
    <n v="5"/>
    <n v="3"/>
    <n v="4"/>
    <n v="2"/>
    <n v="3"/>
    <n v="2"/>
    <n v="2"/>
    <n v="5"/>
    <n v="4"/>
    <n v="2"/>
    <n v="5"/>
    <n v="4"/>
    <n v="3"/>
    <n v="1"/>
    <n v="3"/>
    <n v="2"/>
    <n v="3"/>
    <n v="1"/>
    <n v="1"/>
    <n v="3"/>
    <n v="2"/>
    <n v="4"/>
    <x v="9"/>
    <x v="60"/>
  </r>
  <r>
    <n v="12"/>
    <s v="55+"/>
    <s v="Male"/>
    <s v="Bachelor's Degree"/>
    <x v="5"/>
    <s v="More than 5 years"/>
    <n v="3"/>
    <n v="4"/>
    <n v="4"/>
    <n v="5"/>
    <n v="5"/>
    <n v="6"/>
    <n v="6"/>
    <n v="7"/>
    <n v="2"/>
    <n v="3"/>
    <n v="4"/>
    <n v="5"/>
    <n v="5"/>
    <n v="3"/>
    <n v="4"/>
    <n v="2"/>
    <n v="3"/>
    <n v="2"/>
    <n v="2"/>
    <n v="5"/>
    <n v="4"/>
    <n v="2"/>
    <n v="5"/>
    <n v="4"/>
    <n v="3"/>
    <n v="1"/>
    <n v="3"/>
    <n v="2"/>
    <n v="3"/>
    <n v="1"/>
    <n v="1"/>
    <n v="3"/>
    <n v="2"/>
    <n v="4"/>
    <x v="10"/>
    <x v="71"/>
  </r>
  <r>
    <n v="12"/>
    <s v="55+"/>
    <s v="Male"/>
    <s v="Bachelor's Degree"/>
    <x v="5"/>
    <s v="More than 5 years"/>
    <n v="3"/>
    <n v="4"/>
    <n v="4"/>
    <n v="5"/>
    <n v="5"/>
    <n v="6"/>
    <n v="6"/>
    <n v="7"/>
    <n v="2"/>
    <n v="3"/>
    <n v="4"/>
    <n v="5"/>
    <n v="5"/>
    <n v="3"/>
    <n v="4"/>
    <n v="2"/>
    <n v="3"/>
    <n v="2"/>
    <n v="2"/>
    <n v="5"/>
    <n v="4"/>
    <n v="2"/>
    <n v="5"/>
    <n v="4"/>
    <n v="3"/>
    <n v="1"/>
    <n v="3"/>
    <n v="2"/>
    <n v="3"/>
    <n v="1"/>
    <n v="1"/>
    <n v="3"/>
    <n v="2"/>
    <n v="4"/>
    <x v="11"/>
    <x v="57"/>
  </r>
  <r>
    <n v="12"/>
    <s v="55+"/>
    <s v="Male"/>
    <s v="Bachelor's Degree"/>
    <x v="5"/>
    <s v="More than 5 years"/>
    <n v="3"/>
    <n v="4"/>
    <n v="4"/>
    <n v="5"/>
    <n v="5"/>
    <n v="6"/>
    <n v="6"/>
    <n v="7"/>
    <n v="2"/>
    <n v="3"/>
    <n v="4"/>
    <n v="5"/>
    <n v="5"/>
    <n v="3"/>
    <n v="4"/>
    <n v="2"/>
    <n v="3"/>
    <n v="2"/>
    <n v="2"/>
    <n v="5"/>
    <n v="4"/>
    <n v="2"/>
    <n v="5"/>
    <n v="4"/>
    <n v="3"/>
    <n v="1"/>
    <n v="3"/>
    <n v="2"/>
    <n v="3"/>
    <n v="1"/>
    <n v="1"/>
    <n v="3"/>
    <n v="2"/>
    <n v="4"/>
    <x v="12"/>
    <x v="15"/>
  </r>
  <r>
    <n v="12"/>
    <s v="55+"/>
    <s v="Male"/>
    <s v="Bachelor's Degree"/>
    <x v="5"/>
    <s v="More than 5 years"/>
    <n v="3"/>
    <n v="4"/>
    <n v="4"/>
    <n v="5"/>
    <n v="5"/>
    <n v="6"/>
    <n v="6"/>
    <n v="7"/>
    <n v="2"/>
    <n v="3"/>
    <n v="4"/>
    <n v="5"/>
    <n v="5"/>
    <n v="3"/>
    <n v="4"/>
    <n v="2"/>
    <n v="3"/>
    <n v="2"/>
    <n v="2"/>
    <n v="5"/>
    <n v="4"/>
    <n v="2"/>
    <n v="5"/>
    <n v="4"/>
    <n v="3"/>
    <n v="1"/>
    <n v="3"/>
    <n v="2"/>
    <n v="3"/>
    <n v="1"/>
    <n v="1"/>
    <n v="3"/>
    <n v="2"/>
    <n v="4"/>
    <x v="13"/>
    <x v="72"/>
  </r>
  <r>
    <n v="13"/>
    <s v="55+"/>
    <s v="Male"/>
    <s v="Master's Degree"/>
    <x v="2"/>
    <s v="More than 5 years"/>
    <n v="4"/>
    <n v="2"/>
    <n v="4"/>
    <n v="4"/>
    <n v="7"/>
    <n v="5"/>
    <n v="3"/>
    <n v="5"/>
    <n v="5"/>
    <n v="5"/>
    <n v="2"/>
    <n v="2"/>
    <n v="5"/>
    <n v="4"/>
    <n v="4"/>
    <n v="4"/>
    <n v="4"/>
    <n v="5"/>
    <n v="3"/>
    <n v="4"/>
    <n v="4"/>
    <n v="3"/>
    <n v="3"/>
    <n v="4"/>
    <n v="3"/>
    <n v="3"/>
    <n v="5"/>
    <n v="3"/>
    <n v="3"/>
    <n v="5"/>
    <n v="5"/>
    <n v="2"/>
    <n v="4"/>
    <n v="4"/>
    <x v="0"/>
    <x v="0"/>
  </r>
  <r>
    <n v="13"/>
    <s v="55+"/>
    <s v="Male"/>
    <s v="Master's Degree"/>
    <x v="2"/>
    <s v="More than 5 years"/>
    <n v="4"/>
    <n v="2"/>
    <n v="4"/>
    <n v="4"/>
    <n v="7"/>
    <n v="5"/>
    <n v="3"/>
    <n v="5"/>
    <n v="5"/>
    <n v="5"/>
    <n v="2"/>
    <n v="2"/>
    <n v="5"/>
    <n v="4"/>
    <n v="4"/>
    <n v="4"/>
    <n v="4"/>
    <n v="5"/>
    <n v="3"/>
    <n v="4"/>
    <n v="4"/>
    <n v="3"/>
    <n v="3"/>
    <n v="4"/>
    <n v="3"/>
    <n v="3"/>
    <n v="5"/>
    <n v="3"/>
    <n v="3"/>
    <n v="5"/>
    <n v="5"/>
    <n v="2"/>
    <n v="4"/>
    <n v="4"/>
    <x v="1"/>
    <x v="14"/>
  </r>
  <r>
    <n v="13"/>
    <s v="55+"/>
    <s v="Male"/>
    <s v="Master's Degree"/>
    <x v="2"/>
    <s v="More than 5 years"/>
    <n v="4"/>
    <n v="2"/>
    <n v="4"/>
    <n v="4"/>
    <n v="7"/>
    <n v="5"/>
    <n v="3"/>
    <n v="5"/>
    <n v="5"/>
    <n v="5"/>
    <n v="2"/>
    <n v="2"/>
    <n v="5"/>
    <n v="4"/>
    <n v="4"/>
    <n v="4"/>
    <n v="4"/>
    <n v="5"/>
    <n v="3"/>
    <n v="4"/>
    <n v="4"/>
    <n v="3"/>
    <n v="3"/>
    <n v="4"/>
    <n v="3"/>
    <n v="3"/>
    <n v="5"/>
    <n v="3"/>
    <n v="3"/>
    <n v="5"/>
    <n v="5"/>
    <n v="2"/>
    <n v="4"/>
    <n v="4"/>
    <x v="2"/>
    <x v="31"/>
  </r>
  <r>
    <n v="13"/>
    <s v="55+"/>
    <s v="Male"/>
    <s v="Master's Degree"/>
    <x v="2"/>
    <s v="More than 5 years"/>
    <n v="4"/>
    <n v="2"/>
    <n v="4"/>
    <n v="4"/>
    <n v="7"/>
    <n v="5"/>
    <n v="3"/>
    <n v="5"/>
    <n v="5"/>
    <n v="5"/>
    <n v="2"/>
    <n v="2"/>
    <n v="5"/>
    <n v="4"/>
    <n v="4"/>
    <n v="4"/>
    <n v="4"/>
    <n v="5"/>
    <n v="3"/>
    <n v="4"/>
    <n v="4"/>
    <n v="3"/>
    <n v="3"/>
    <n v="4"/>
    <n v="3"/>
    <n v="3"/>
    <n v="5"/>
    <n v="3"/>
    <n v="3"/>
    <n v="5"/>
    <n v="5"/>
    <n v="2"/>
    <n v="4"/>
    <n v="4"/>
    <x v="3"/>
    <x v="32"/>
  </r>
  <r>
    <n v="13"/>
    <s v="55+"/>
    <s v="Male"/>
    <s v="Master's Degree"/>
    <x v="2"/>
    <s v="More than 5 years"/>
    <n v="4"/>
    <n v="2"/>
    <n v="4"/>
    <n v="4"/>
    <n v="7"/>
    <n v="5"/>
    <n v="3"/>
    <n v="5"/>
    <n v="5"/>
    <n v="5"/>
    <n v="2"/>
    <n v="2"/>
    <n v="5"/>
    <n v="4"/>
    <n v="4"/>
    <n v="4"/>
    <n v="4"/>
    <n v="5"/>
    <n v="3"/>
    <n v="4"/>
    <n v="4"/>
    <n v="3"/>
    <n v="3"/>
    <n v="4"/>
    <n v="3"/>
    <n v="3"/>
    <n v="5"/>
    <n v="3"/>
    <n v="3"/>
    <n v="5"/>
    <n v="5"/>
    <n v="2"/>
    <n v="4"/>
    <n v="4"/>
    <x v="4"/>
    <x v="73"/>
  </r>
  <r>
    <n v="13"/>
    <s v="55+"/>
    <s v="Male"/>
    <s v="Master's Degree"/>
    <x v="2"/>
    <s v="More than 5 years"/>
    <n v="4"/>
    <n v="2"/>
    <n v="4"/>
    <n v="4"/>
    <n v="7"/>
    <n v="5"/>
    <n v="3"/>
    <n v="5"/>
    <n v="5"/>
    <n v="5"/>
    <n v="2"/>
    <n v="2"/>
    <n v="5"/>
    <n v="4"/>
    <n v="4"/>
    <n v="4"/>
    <n v="4"/>
    <n v="5"/>
    <n v="3"/>
    <n v="4"/>
    <n v="4"/>
    <n v="3"/>
    <n v="3"/>
    <n v="4"/>
    <n v="3"/>
    <n v="3"/>
    <n v="5"/>
    <n v="3"/>
    <n v="3"/>
    <n v="5"/>
    <n v="5"/>
    <n v="2"/>
    <n v="4"/>
    <n v="4"/>
    <x v="5"/>
    <x v="24"/>
  </r>
  <r>
    <n v="13"/>
    <s v="55+"/>
    <s v="Male"/>
    <s v="Master's Degree"/>
    <x v="2"/>
    <s v="More than 5 years"/>
    <n v="4"/>
    <n v="2"/>
    <n v="4"/>
    <n v="4"/>
    <n v="7"/>
    <n v="5"/>
    <n v="3"/>
    <n v="5"/>
    <n v="5"/>
    <n v="5"/>
    <n v="2"/>
    <n v="2"/>
    <n v="5"/>
    <n v="4"/>
    <n v="4"/>
    <n v="4"/>
    <n v="4"/>
    <n v="5"/>
    <n v="3"/>
    <n v="4"/>
    <n v="4"/>
    <n v="3"/>
    <n v="3"/>
    <n v="4"/>
    <n v="3"/>
    <n v="3"/>
    <n v="5"/>
    <n v="3"/>
    <n v="3"/>
    <n v="5"/>
    <n v="5"/>
    <n v="2"/>
    <n v="4"/>
    <n v="4"/>
    <x v="6"/>
    <x v="25"/>
  </r>
  <r>
    <n v="13"/>
    <s v="55+"/>
    <s v="Male"/>
    <s v="Master's Degree"/>
    <x v="2"/>
    <s v="More than 5 years"/>
    <n v="4"/>
    <n v="2"/>
    <n v="4"/>
    <n v="4"/>
    <n v="7"/>
    <n v="5"/>
    <n v="3"/>
    <n v="5"/>
    <n v="5"/>
    <n v="5"/>
    <n v="2"/>
    <n v="2"/>
    <n v="5"/>
    <n v="4"/>
    <n v="4"/>
    <n v="4"/>
    <n v="4"/>
    <n v="5"/>
    <n v="3"/>
    <n v="4"/>
    <n v="4"/>
    <n v="3"/>
    <n v="3"/>
    <n v="4"/>
    <n v="3"/>
    <n v="3"/>
    <n v="5"/>
    <n v="3"/>
    <n v="3"/>
    <n v="5"/>
    <n v="5"/>
    <n v="2"/>
    <n v="4"/>
    <n v="4"/>
    <x v="7"/>
    <x v="74"/>
  </r>
  <r>
    <n v="13"/>
    <s v="55+"/>
    <s v="Male"/>
    <s v="Master's Degree"/>
    <x v="2"/>
    <s v="More than 5 years"/>
    <n v="4"/>
    <n v="2"/>
    <n v="4"/>
    <n v="4"/>
    <n v="7"/>
    <n v="5"/>
    <n v="3"/>
    <n v="5"/>
    <n v="5"/>
    <n v="5"/>
    <n v="2"/>
    <n v="2"/>
    <n v="5"/>
    <n v="4"/>
    <n v="4"/>
    <n v="4"/>
    <n v="4"/>
    <n v="5"/>
    <n v="3"/>
    <n v="4"/>
    <n v="4"/>
    <n v="3"/>
    <n v="3"/>
    <n v="4"/>
    <n v="3"/>
    <n v="3"/>
    <n v="5"/>
    <n v="3"/>
    <n v="3"/>
    <n v="5"/>
    <n v="5"/>
    <n v="2"/>
    <n v="4"/>
    <n v="4"/>
    <x v="8"/>
    <x v="8"/>
  </r>
  <r>
    <n v="13"/>
    <s v="55+"/>
    <s v="Male"/>
    <s v="Master's Degree"/>
    <x v="2"/>
    <s v="More than 5 years"/>
    <n v="4"/>
    <n v="2"/>
    <n v="4"/>
    <n v="4"/>
    <n v="7"/>
    <n v="5"/>
    <n v="3"/>
    <n v="5"/>
    <n v="5"/>
    <n v="5"/>
    <n v="2"/>
    <n v="2"/>
    <n v="5"/>
    <n v="4"/>
    <n v="4"/>
    <n v="4"/>
    <n v="4"/>
    <n v="5"/>
    <n v="3"/>
    <n v="4"/>
    <n v="4"/>
    <n v="3"/>
    <n v="3"/>
    <n v="4"/>
    <n v="3"/>
    <n v="3"/>
    <n v="5"/>
    <n v="3"/>
    <n v="3"/>
    <n v="5"/>
    <n v="5"/>
    <n v="2"/>
    <n v="4"/>
    <n v="4"/>
    <x v="9"/>
    <x v="60"/>
  </r>
  <r>
    <n v="13"/>
    <s v="55+"/>
    <s v="Male"/>
    <s v="Master's Degree"/>
    <x v="2"/>
    <s v="More than 5 years"/>
    <n v="4"/>
    <n v="2"/>
    <n v="4"/>
    <n v="4"/>
    <n v="7"/>
    <n v="5"/>
    <n v="3"/>
    <n v="5"/>
    <n v="5"/>
    <n v="5"/>
    <n v="2"/>
    <n v="2"/>
    <n v="5"/>
    <n v="4"/>
    <n v="4"/>
    <n v="4"/>
    <n v="4"/>
    <n v="5"/>
    <n v="3"/>
    <n v="4"/>
    <n v="4"/>
    <n v="3"/>
    <n v="3"/>
    <n v="4"/>
    <n v="3"/>
    <n v="3"/>
    <n v="5"/>
    <n v="3"/>
    <n v="3"/>
    <n v="5"/>
    <n v="5"/>
    <n v="2"/>
    <n v="4"/>
    <n v="4"/>
    <x v="10"/>
    <x v="75"/>
  </r>
  <r>
    <n v="13"/>
    <s v="55+"/>
    <s v="Male"/>
    <s v="Master's Degree"/>
    <x v="2"/>
    <s v="More than 5 years"/>
    <n v="4"/>
    <n v="2"/>
    <n v="4"/>
    <n v="4"/>
    <n v="7"/>
    <n v="5"/>
    <n v="3"/>
    <n v="5"/>
    <n v="5"/>
    <n v="5"/>
    <n v="2"/>
    <n v="2"/>
    <n v="5"/>
    <n v="4"/>
    <n v="4"/>
    <n v="4"/>
    <n v="4"/>
    <n v="5"/>
    <n v="3"/>
    <n v="4"/>
    <n v="4"/>
    <n v="3"/>
    <n v="3"/>
    <n v="4"/>
    <n v="3"/>
    <n v="3"/>
    <n v="5"/>
    <n v="3"/>
    <n v="3"/>
    <n v="5"/>
    <n v="5"/>
    <n v="2"/>
    <n v="4"/>
    <n v="4"/>
    <x v="11"/>
    <x v="62"/>
  </r>
  <r>
    <n v="13"/>
    <s v="55+"/>
    <s v="Male"/>
    <s v="Master's Degree"/>
    <x v="2"/>
    <s v="More than 5 years"/>
    <n v="4"/>
    <n v="2"/>
    <n v="4"/>
    <n v="4"/>
    <n v="7"/>
    <n v="5"/>
    <n v="3"/>
    <n v="5"/>
    <n v="5"/>
    <n v="5"/>
    <n v="2"/>
    <n v="2"/>
    <n v="5"/>
    <n v="4"/>
    <n v="4"/>
    <n v="4"/>
    <n v="4"/>
    <n v="5"/>
    <n v="3"/>
    <n v="4"/>
    <n v="4"/>
    <n v="3"/>
    <n v="3"/>
    <n v="4"/>
    <n v="3"/>
    <n v="3"/>
    <n v="5"/>
    <n v="3"/>
    <n v="3"/>
    <n v="5"/>
    <n v="5"/>
    <n v="2"/>
    <n v="4"/>
    <n v="4"/>
    <x v="12"/>
    <x v="2"/>
  </r>
  <r>
    <n v="13"/>
    <s v="55+"/>
    <s v="Male"/>
    <s v="Master's Degree"/>
    <x v="2"/>
    <s v="More than 5 years"/>
    <n v="4"/>
    <n v="2"/>
    <n v="4"/>
    <n v="4"/>
    <n v="7"/>
    <n v="5"/>
    <n v="3"/>
    <n v="5"/>
    <n v="5"/>
    <n v="5"/>
    <n v="2"/>
    <n v="2"/>
    <n v="5"/>
    <n v="4"/>
    <n v="4"/>
    <n v="4"/>
    <n v="4"/>
    <n v="5"/>
    <n v="3"/>
    <n v="4"/>
    <n v="4"/>
    <n v="3"/>
    <n v="3"/>
    <n v="4"/>
    <n v="3"/>
    <n v="3"/>
    <n v="5"/>
    <n v="3"/>
    <n v="3"/>
    <n v="5"/>
    <n v="5"/>
    <n v="2"/>
    <n v="4"/>
    <n v="4"/>
    <x v="13"/>
    <x v="72"/>
  </r>
  <r>
    <n v="14"/>
    <s v="25-34"/>
    <s v="Female"/>
    <s v="Master's Degree"/>
    <x v="2"/>
    <s v="Less than 1 year"/>
    <n v="3"/>
    <n v="3"/>
    <n v="4"/>
    <n v="4"/>
    <n v="6"/>
    <n v="6"/>
    <n v="7"/>
    <n v="4"/>
    <n v="4"/>
    <n v="4"/>
    <n v="5"/>
    <n v="4"/>
    <n v="4"/>
    <n v="5"/>
    <n v="5"/>
    <n v="4"/>
    <n v="5"/>
    <n v="4"/>
    <n v="5"/>
    <n v="3"/>
    <n v="4"/>
    <n v="3"/>
    <n v="4"/>
    <n v="3"/>
    <n v="3"/>
    <n v="3"/>
    <n v="1"/>
    <n v="2"/>
    <n v="2"/>
    <n v="2"/>
    <n v="4"/>
    <n v="2"/>
    <n v="3"/>
    <n v="4"/>
    <x v="0"/>
    <x v="0"/>
  </r>
  <r>
    <n v="14"/>
    <s v="25-34"/>
    <s v="Female"/>
    <s v="Master's Degree"/>
    <x v="2"/>
    <s v="Less than 1 year"/>
    <n v="3"/>
    <n v="3"/>
    <n v="4"/>
    <n v="4"/>
    <n v="6"/>
    <n v="6"/>
    <n v="7"/>
    <n v="4"/>
    <n v="4"/>
    <n v="4"/>
    <n v="5"/>
    <n v="4"/>
    <n v="4"/>
    <n v="5"/>
    <n v="5"/>
    <n v="4"/>
    <n v="5"/>
    <n v="4"/>
    <n v="5"/>
    <n v="3"/>
    <n v="4"/>
    <n v="3"/>
    <n v="4"/>
    <n v="3"/>
    <n v="3"/>
    <n v="3"/>
    <n v="1"/>
    <n v="2"/>
    <n v="2"/>
    <n v="2"/>
    <n v="4"/>
    <n v="2"/>
    <n v="3"/>
    <n v="4"/>
    <x v="1"/>
    <x v="14"/>
  </r>
  <r>
    <n v="14"/>
    <s v="25-34"/>
    <s v="Female"/>
    <s v="Master's Degree"/>
    <x v="2"/>
    <s v="Less than 1 year"/>
    <n v="3"/>
    <n v="3"/>
    <n v="4"/>
    <n v="4"/>
    <n v="6"/>
    <n v="6"/>
    <n v="7"/>
    <n v="4"/>
    <n v="4"/>
    <n v="4"/>
    <n v="5"/>
    <n v="4"/>
    <n v="4"/>
    <n v="5"/>
    <n v="5"/>
    <n v="4"/>
    <n v="5"/>
    <n v="4"/>
    <n v="5"/>
    <n v="3"/>
    <n v="4"/>
    <n v="3"/>
    <n v="4"/>
    <n v="3"/>
    <n v="3"/>
    <n v="3"/>
    <n v="1"/>
    <n v="2"/>
    <n v="2"/>
    <n v="2"/>
    <n v="4"/>
    <n v="2"/>
    <n v="3"/>
    <n v="4"/>
    <x v="2"/>
    <x v="2"/>
  </r>
  <r>
    <n v="14"/>
    <s v="25-34"/>
    <s v="Female"/>
    <s v="Master's Degree"/>
    <x v="2"/>
    <s v="Less than 1 year"/>
    <n v="3"/>
    <n v="3"/>
    <n v="4"/>
    <n v="4"/>
    <n v="6"/>
    <n v="6"/>
    <n v="7"/>
    <n v="4"/>
    <n v="4"/>
    <n v="4"/>
    <n v="5"/>
    <n v="4"/>
    <n v="4"/>
    <n v="5"/>
    <n v="5"/>
    <n v="4"/>
    <n v="5"/>
    <n v="4"/>
    <n v="5"/>
    <n v="3"/>
    <n v="4"/>
    <n v="3"/>
    <n v="4"/>
    <n v="3"/>
    <n v="3"/>
    <n v="3"/>
    <n v="1"/>
    <n v="2"/>
    <n v="2"/>
    <n v="2"/>
    <n v="4"/>
    <n v="2"/>
    <n v="3"/>
    <n v="4"/>
    <x v="3"/>
    <x v="32"/>
  </r>
  <r>
    <n v="14"/>
    <s v="25-34"/>
    <s v="Female"/>
    <s v="Master's Degree"/>
    <x v="2"/>
    <s v="Less than 1 year"/>
    <n v="3"/>
    <n v="3"/>
    <n v="4"/>
    <n v="4"/>
    <n v="6"/>
    <n v="6"/>
    <n v="7"/>
    <n v="4"/>
    <n v="4"/>
    <n v="4"/>
    <n v="5"/>
    <n v="4"/>
    <n v="4"/>
    <n v="5"/>
    <n v="5"/>
    <n v="4"/>
    <n v="5"/>
    <n v="4"/>
    <n v="5"/>
    <n v="3"/>
    <n v="4"/>
    <n v="3"/>
    <n v="4"/>
    <n v="3"/>
    <n v="3"/>
    <n v="3"/>
    <n v="1"/>
    <n v="2"/>
    <n v="2"/>
    <n v="2"/>
    <n v="4"/>
    <n v="2"/>
    <n v="3"/>
    <n v="4"/>
    <x v="4"/>
    <x v="23"/>
  </r>
  <r>
    <n v="14"/>
    <s v="25-34"/>
    <s v="Female"/>
    <s v="Master's Degree"/>
    <x v="2"/>
    <s v="Less than 1 year"/>
    <n v="3"/>
    <n v="3"/>
    <n v="4"/>
    <n v="4"/>
    <n v="6"/>
    <n v="6"/>
    <n v="7"/>
    <n v="4"/>
    <n v="4"/>
    <n v="4"/>
    <n v="5"/>
    <n v="4"/>
    <n v="4"/>
    <n v="5"/>
    <n v="5"/>
    <n v="4"/>
    <n v="5"/>
    <n v="4"/>
    <n v="5"/>
    <n v="3"/>
    <n v="4"/>
    <n v="3"/>
    <n v="4"/>
    <n v="3"/>
    <n v="3"/>
    <n v="3"/>
    <n v="1"/>
    <n v="2"/>
    <n v="2"/>
    <n v="2"/>
    <n v="4"/>
    <n v="2"/>
    <n v="3"/>
    <n v="4"/>
    <x v="5"/>
    <x v="5"/>
  </r>
  <r>
    <n v="14"/>
    <s v="25-34"/>
    <s v="Female"/>
    <s v="Master's Degree"/>
    <x v="2"/>
    <s v="Less than 1 year"/>
    <n v="3"/>
    <n v="3"/>
    <n v="4"/>
    <n v="4"/>
    <n v="6"/>
    <n v="6"/>
    <n v="7"/>
    <n v="4"/>
    <n v="4"/>
    <n v="4"/>
    <n v="5"/>
    <n v="4"/>
    <n v="4"/>
    <n v="5"/>
    <n v="5"/>
    <n v="4"/>
    <n v="5"/>
    <n v="4"/>
    <n v="5"/>
    <n v="3"/>
    <n v="4"/>
    <n v="3"/>
    <n v="4"/>
    <n v="3"/>
    <n v="3"/>
    <n v="3"/>
    <n v="1"/>
    <n v="2"/>
    <n v="2"/>
    <n v="2"/>
    <n v="4"/>
    <n v="2"/>
    <n v="3"/>
    <n v="4"/>
    <x v="6"/>
    <x v="25"/>
  </r>
  <r>
    <n v="14"/>
    <s v="25-34"/>
    <s v="Female"/>
    <s v="Master's Degree"/>
    <x v="2"/>
    <s v="Less than 1 year"/>
    <n v="3"/>
    <n v="3"/>
    <n v="4"/>
    <n v="4"/>
    <n v="6"/>
    <n v="6"/>
    <n v="7"/>
    <n v="4"/>
    <n v="4"/>
    <n v="4"/>
    <n v="5"/>
    <n v="4"/>
    <n v="4"/>
    <n v="5"/>
    <n v="5"/>
    <n v="4"/>
    <n v="5"/>
    <n v="4"/>
    <n v="5"/>
    <n v="3"/>
    <n v="4"/>
    <n v="3"/>
    <n v="4"/>
    <n v="3"/>
    <n v="3"/>
    <n v="3"/>
    <n v="1"/>
    <n v="2"/>
    <n v="2"/>
    <n v="2"/>
    <n v="4"/>
    <n v="2"/>
    <n v="3"/>
    <n v="4"/>
    <x v="7"/>
    <x v="76"/>
  </r>
  <r>
    <n v="14"/>
    <s v="25-34"/>
    <s v="Female"/>
    <s v="Master's Degree"/>
    <x v="2"/>
    <s v="Less than 1 year"/>
    <n v="3"/>
    <n v="3"/>
    <n v="4"/>
    <n v="4"/>
    <n v="6"/>
    <n v="6"/>
    <n v="7"/>
    <n v="4"/>
    <n v="4"/>
    <n v="4"/>
    <n v="5"/>
    <n v="4"/>
    <n v="4"/>
    <n v="5"/>
    <n v="5"/>
    <n v="4"/>
    <n v="5"/>
    <n v="4"/>
    <n v="5"/>
    <n v="3"/>
    <n v="4"/>
    <n v="3"/>
    <n v="4"/>
    <n v="3"/>
    <n v="3"/>
    <n v="3"/>
    <n v="1"/>
    <n v="2"/>
    <n v="2"/>
    <n v="2"/>
    <n v="4"/>
    <n v="2"/>
    <n v="3"/>
    <n v="4"/>
    <x v="8"/>
    <x v="41"/>
  </r>
  <r>
    <n v="14"/>
    <s v="25-34"/>
    <s v="Female"/>
    <s v="Master's Degree"/>
    <x v="2"/>
    <s v="Less than 1 year"/>
    <n v="3"/>
    <n v="3"/>
    <n v="4"/>
    <n v="4"/>
    <n v="6"/>
    <n v="6"/>
    <n v="7"/>
    <n v="4"/>
    <n v="4"/>
    <n v="4"/>
    <n v="5"/>
    <n v="4"/>
    <n v="4"/>
    <n v="5"/>
    <n v="5"/>
    <n v="4"/>
    <n v="5"/>
    <n v="4"/>
    <n v="5"/>
    <n v="3"/>
    <n v="4"/>
    <n v="3"/>
    <n v="4"/>
    <n v="3"/>
    <n v="3"/>
    <n v="3"/>
    <n v="1"/>
    <n v="2"/>
    <n v="2"/>
    <n v="2"/>
    <n v="4"/>
    <n v="2"/>
    <n v="3"/>
    <n v="4"/>
    <x v="9"/>
    <x v="60"/>
  </r>
  <r>
    <n v="14"/>
    <s v="25-34"/>
    <s v="Female"/>
    <s v="Master's Degree"/>
    <x v="2"/>
    <s v="Less than 1 year"/>
    <n v="3"/>
    <n v="3"/>
    <n v="4"/>
    <n v="4"/>
    <n v="6"/>
    <n v="6"/>
    <n v="7"/>
    <n v="4"/>
    <n v="4"/>
    <n v="4"/>
    <n v="5"/>
    <n v="4"/>
    <n v="4"/>
    <n v="5"/>
    <n v="5"/>
    <n v="4"/>
    <n v="5"/>
    <n v="4"/>
    <n v="5"/>
    <n v="3"/>
    <n v="4"/>
    <n v="3"/>
    <n v="4"/>
    <n v="3"/>
    <n v="3"/>
    <n v="3"/>
    <n v="1"/>
    <n v="2"/>
    <n v="2"/>
    <n v="2"/>
    <n v="4"/>
    <n v="2"/>
    <n v="3"/>
    <n v="4"/>
    <x v="10"/>
    <x v="77"/>
  </r>
  <r>
    <n v="14"/>
    <s v="25-34"/>
    <s v="Female"/>
    <s v="Master's Degree"/>
    <x v="2"/>
    <s v="Less than 1 year"/>
    <n v="3"/>
    <n v="3"/>
    <n v="4"/>
    <n v="4"/>
    <n v="6"/>
    <n v="6"/>
    <n v="7"/>
    <n v="4"/>
    <n v="4"/>
    <n v="4"/>
    <n v="5"/>
    <n v="4"/>
    <n v="4"/>
    <n v="5"/>
    <n v="5"/>
    <n v="4"/>
    <n v="5"/>
    <n v="4"/>
    <n v="5"/>
    <n v="3"/>
    <n v="4"/>
    <n v="3"/>
    <n v="4"/>
    <n v="3"/>
    <n v="3"/>
    <n v="3"/>
    <n v="1"/>
    <n v="2"/>
    <n v="2"/>
    <n v="2"/>
    <n v="4"/>
    <n v="2"/>
    <n v="3"/>
    <n v="4"/>
    <x v="11"/>
    <x v="11"/>
  </r>
  <r>
    <n v="14"/>
    <s v="25-34"/>
    <s v="Female"/>
    <s v="Master's Degree"/>
    <x v="2"/>
    <s v="Less than 1 year"/>
    <n v="3"/>
    <n v="3"/>
    <n v="4"/>
    <n v="4"/>
    <n v="6"/>
    <n v="6"/>
    <n v="7"/>
    <n v="4"/>
    <n v="4"/>
    <n v="4"/>
    <n v="5"/>
    <n v="4"/>
    <n v="4"/>
    <n v="5"/>
    <n v="5"/>
    <n v="4"/>
    <n v="5"/>
    <n v="4"/>
    <n v="5"/>
    <n v="3"/>
    <n v="4"/>
    <n v="3"/>
    <n v="4"/>
    <n v="3"/>
    <n v="3"/>
    <n v="3"/>
    <n v="1"/>
    <n v="2"/>
    <n v="2"/>
    <n v="2"/>
    <n v="4"/>
    <n v="2"/>
    <n v="3"/>
    <n v="4"/>
    <x v="12"/>
    <x v="15"/>
  </r>
  <r>
    <n v="14"/>
    <s v="25-34"/>
    <s v="Female"/>
    <s v="Master's Degree"/>
    <x v="2"/>
    <s v="Less than 1 year"/>
    <n v="3"/>
    <n v="3"/>
    <n v="4"/>
    <n v="4"/>
    <n v="6"/>
    <n v="6"/>
    <n v="7"/>
    <n v="4"/>
    <n v="4"/>
    <n v="4"/>
    <n v="5"/>
    <n v="4"/>
    <n v="4"/>
    <n v="5"/>
    <n v="5"/>
    <n v="4"/>
    <n v="5"/>
    <n v="4"/>
    <n v="5"/>
    <n v="3"/>
    <n v="4"/>
    <n v="3"/>
    <n v="4"/>
    <n v="3"/>
    <n v="3"/>
    <n v="3"/>
    <n v="1"/>
    <n v="2"/>
    <n v="2"/>
    <n v="2"/>
    <n v="4"/>
    <n v="2"/>
    <n v="3"/>
    <n v="4"/>
    <x v="13"/>
    <x v="78"/>
  </r>
  <r>
    <n v="15"/>
    <s v="55+"/>
    <s v="Male"/>
    <s v="Associate's Degree/Diploma"/>
    <x v="6"/>
    <s v="More than 5 years"/>
    <n v="3"/>
    <n v="4"/>
    <n v="5"/>
    <n v="5"/>
    <n v="6"/>
    <n v="7"/>
    <n v="6"/>
    <n v="7"/>
    <n v="7"/>
    <n v="6"/>
    <n v="5"/>
    <n v="6"/>
    <n v="4"/>
    <n v="5"/>
    <n v="4"/>
    <n v="5"/>
    <n v="5"/>
    <n v="4"/>
    <n v="5"/>
    <n v="5"/>
    <n v="4"/>
    <n v="5"/>
    <n v="5"/>
    <n v="5"/>
    <n v="5"/>
    <n v="4"/>
    <n v="4"/>
    <n v="4"/>
    <n v="5"/>
    <n v="4"/>
    <n v="5"/>
    <n v="4"/>
    <n v="5"/>
    <n v="4"/>
    <x v="0"/>
    <x v="0"/>
  </r>
  <r>
    <n v="15"/>
    <s v="55+"/>
    <s v="Male"/>
    <s v="Associate's Degree/Diploma"/>
    <x v="6"/>
    <s v="More than 5 years"/>
    <n v="3"/>
    <n v="4"/>
    <n v="5"/>
    <n v="5"/>
    <n v="6"/>
    <n v="7"/>
    <n v="6"/>
    <n v="7"/>
    <n v="7"/>
    <n v="6"/>
    <n v="5"/>
    <n v="6"/>
    <n v="4"/>
    <n v="5"/>
    <n v="4"/>
    <n v="5"/>
    <n v="5"/>
    <n v="4"/>
    <n v="5"/>
    <n v="5"/>
    <n v="4"/>
    <n v="5"/>
    <n v="5"/>
    <n v="5"/>
    <n v="5"/>
    <n v="4"/>
    <n v="4"/>
    <n v="4"/>
    <n v="5"/>
    <n v="4"/>
    <n v="5"/>
    <n v="4"/>
    <n v="5"/>
    <n v="4"/>
    <x v="1"/>
    <x v="1"/>
  </r>
  <r>
    <n v="15"/>
    <s v="55+"/>
    <s v="Male"/>
    <s v="Associate's Degree/Diploma"/>
    <x v="6"/>
    <s v="More than 5 years"/>
    <n v="3"/>
    <n v="4"/>
    <n v="5"/>
    <n v="5"/>
    <n v="6"/>
    <n v="7"/>
    <n v="6"/>
    <n v="7"/>
    <n v="7"/>
    <n v="6"/>
    <n v="5"/>
    <n v="6"/>
    <n v="4"/>
    <n v="5"/>
    <n v="4"/>
    <n v="5"/>
    <n v="5"/>
    <n v="4"/>
    <n v="5"/>
    <n v="5"/>
    <n v="4"/>
    <n v="5"/>
    <n v="5"/>
    <n v="5"/>
    <n v="5"/>
    <n v="4"/>
    <n v="4"/>
    <n v="4"/>
    <n v="5"/>
    <n v="4"/>
    <n v="5"/>
    <n v="4"/>
    <n v="5"/>
    <n v="4"/>
    <x v="2"/>
    <x v="79"/>
  </r>
  <r>
    <n v="15"/>
    <s v="55+"/>
    <s v="Male"/>
    <s v="Associate's Degree/Diploma"/>
    <x v="6"/>
    <s v="More than 5 years"/>
    <n v="3"/>
    <n v="4"/>
    <n v="5"/>
    <n v="5"/>
    <n v="6"/>
    <n v="7"/>
    <n v="6"/>
    <n v="7"/>
    <n v="7"/>
    <n v="6"/>
    <n v="5"/>
    <n v="6"/>
    <n v="4"/>
    <n v="5"/>
    <n v="4"/>
    <n v="5"/>
    <n v="5"/>
    <n v="4"/>
    <n v="5"/>
    <n v="5"/>
    <n v="4"/>
    <n v="5"/>
    <n v="5"/>
    <n v="5"/>
    <n v="5"/>
    <n v="4"/>
    <n v="4"/>
    <n v="4"/>
    <n v="5"/>
    <n v="4"/>
    <n v="5"/>
    <n v="4"/>
    <n v="5"/>
    <n v="4"/>
    <x v="3"/>
    <x v="22"/>
  </r>
  <r>
    <n v="15"/>
    <s v="55+"/>
    <s v="Male"/>
    <s v="Associate's Degree/Diploma"/>
    <x v="6"/>
    <s v="More than 5 years"/>
    <n v="3"/>
    <n v="4"/>
    <n v="5"/>
    <n v="5"/>
    <n v="6"/>
    <n v="7"/>
    <n v="6"/>
    <n v="7"/>
    <n v="7"/>
    <n v="6"/>
    <n v="5"/>
    <n v="6"/>
    <n v="4"/>
    <n v="5"/>
    <n v="4"/>
    <n v="5"/>
    <n v="5"/>
    <n v="4"/>
    <n v="5"/>
    <n v="5"/>
    <n v="4"/>
    <n v="5"/>
    <n v="5"/>
    <n v="5"/>
    <n v="5"/>
    <n v="4"/>
    <n v="4"/>
    <n v="4"/>
    <n v="5"/>
    <n v="4"/>
    <n v="5"/>
    <n v="4"/>
    <n v="5"/>
    <n v="4"/>
    <x v="4"/>
    <x v="80"/>
  </r>
  <r>
    <n v="15"/>
    <s v="55+"/>
    <s v="Male"/>
    <s v="Associate's Degree/Diploma"/>
    <x v="6"/>
    <s v="More than 5 years"/>
    <n v="3"/>
    <n v="4"/>
    <n v="5"/>
    <n v="5"/>
    <n v="6"/>
    <n v="7"/>
    <n v="6"/>
    <n v="7"/>
    <n v="7"/>
    <n v="6"/>
    <n v="5"/>
    <n v="6"/>
    <n v="4"/>
    <n v="5"/>
    <n v="4"/>
    <n v="5"/>
    <n v="5"/>
    <n v="4"/>
    <n v="5"/>
    <n v="5"/>
    <n v="4"/>
    <n v="5"/>
    <n v="5"/>
    <n v="5"/>
    <n v="5"/>
    <n v="4"/>
    <n v="4"/>
    <n v="4"/>
    <n v="5"/>
    <n v="4"/>
    <n v="5"/>
    <n v="4"/>
    <n v="5"/>
    <n v="4"/>
    <x v="5"/>
    <x v="33"/>
  </r>
  <r>
    <n v="15"/>
    <s v="55+"/>
    <s v="Male"/>
    <s v="Associate's Degree/Diploma"/>
    <x v="6"/>
    <s v="More than 5 years"/>
    <n v="3"/>
    <n v="4"/>
    <n v="5"/>
    <n v="5"/>
    <n v="6"/>
    <n v="7"/>
    <n v="6"/>
    <n v="7"/>
    <n v="7"/>
    <n v="6"/>
    <n v="5"/>
    <n v="6"/>
    <n v="4"/>
    <n v="5"/>
    <n v="4"/>
    <n v="5"/>
    <n v="5"/>
    <n v="4"/>
    <n v="5"/>
    <n v="5"/>
    <n v="4"/>
    <n v="5"/>
    <n v="5"/>
    <n v="5"/>
    <n v="5"/>
    <n v="4"/>
    <n v="4"/>
    <n v="4"/>
    <n v="5"/>
    <n v="4"/>
    <n v="5"/>
    <n v="4"/>
    <n v="5"/>
    <n v="4"/>
    <x v="6"/>
    <x v="6"/>
  </r>
  <r>
    <n v="15"/>
    <s v="55+"/>
    <s v="Male"/>
    <s v="Associate's Degree/Diploma"/>
    <x v="6"/>
    <s v="More than 5 years"/>
    <n v="3"/>
    <n v="4"/>
    <n v="5"/>
    <n v="5"/>
    <n v="6"/>
    <n v="7"/>
    <n v="6"/>
    <n v="7"/>
    <n v="7"/>
    <n v="6"/>
    <n v="5"/>
    <n v="6"/>
    <n v="4"/>
    <n v="5"/>
    <n v="4"/>
    <n v="5"/>
    <n v="5"/>
    <n v="4"/>
    <n v="5"/>
    <n v="5"/>
    <n v="4"/>
    <n v="5"/>
    <n v="5"/>
    <n v="5"/>
    <n v="5"/>
    <n v="4"/>
    <n v="4"/>
    <n v="4"/>
    <n v="5"/>
    <n v="4"/>
    <n v="5"/>
    <n v="4"/>
    <n v="5"/>
    <n v="4"/>
    <x v="7"/>
    <x v="17"/>
  </r>
  <r>
    <n v="15"/>
    <s v="55+"/>
    <s v="Male"/>
    <s v="Associate's Degree/Diploma"/>
    <x v="6"/>
    <s v="More than 5 years"/>
    <n v="3"/>
    <n v="4"/>
    <n v="5"/>
    <n v="5"/>
    <n v="6"/>
    <n v="7"/>
    <n v="6"/>
    <n v="7"/>
    <n v="7"/>
    <n v="6"/>
    <n v="5"/>
    <n v="6"/>
    <n v="4"/>
    <n v="5"/>
    <n v="4"/>
    <n v="5"/>
    <n v="5"/>
    <n v="4"/>
    <n v="5"/>
    <n v="5"/>
    <n v="4"/>
    <n v="5"/>
    <n v="5"/>
    <n v="5"/>
    <n v="5"/>
    <n v="4"/>
    <n v="4"/>
    <n v="4"/>
    <n v="5"/>
    <n v="4"/>
    <n v="5"/>
    <n v="4"/>
    <n v="5"/>
    <n v="4"/>
    <x v="8"/>
    <x v="41"/>
  </r>
  <r>
    <n v="15"/>
    <s v="55+"/>
    <s v="Male"/>
    <s v="Associate's Degree/Diploma"/>
    <x v="6"/>
    <s v="More than 5 years"/>
    <n v="3"/>
    <n v="4"/>
    <n v="5"/>
    <n v="5"/>
    <n v="6"/>
    <n v="7"/>
    <n v="6"/>
    <n v="7"/>
    <n v="7"/>
    <n v="6"/>
    <n v="5"/>
    <n v="6"/>
    <n v="4"/>
    <n v="5"/>
    <n v="4"/>
    <n v="5"/>
    <n v="5"/>
    <n v="4"/>
    <n v="5"/>
    <n v="5"/>
    <n v="4"/>
    <n v="5"/>
    <n v="5"/>
    <n v="5"/>
    <n v="5"/>
    <n v="4"/>
    <n v="4"/>
    <n v="4"/>
    <n v="5"/>
    <n v="4"/>
    <n v="5"/>
    <n v="4"/>
    <n v="5"/>
    <n v="4"/>
    <x v="9"/>
    <x v="81"/>
  </r>
  <r>
    <n v="15"/>
    <s v="55+"/>
    <s v="Male"/>
    <s v="Associate's Degree/Diploma"/>
    <x v="6"/>
    <s v="More than 5 years"/>
    <n v="3"/>
    <n v="4"/>
    <n v="5"/>
    <n v="5"/>
    <n v="6"/>
    <n v="7"/>
    <n v="6"/>
    <n v="7"/>
    <n v="7"/>
    <n v="6"/>
    <n v="5"/>
    <n v="6"/>
    <n v="4"/>
    <n v="5"/>
    <n v="4"/>
    <n v="5"/>
    <n v="5"/>
    <n v="4"/>
    <n v="5"/>
    <n v="5"/>
    <n v="4"/>
    <n v="5"/>
    <n v="5"/>
    <n v="5"/>
    <n v="5"/>
    <n v="4"/>
    <n v="4"/>
    <n v="4"/>
    <n v="5"/>
    <n v="4"/>
    <n v="5"/>
    <n v="4"/>
    <n v="5"/>
    <n v="4"/>
    <x v="10"/>
    <x v="82"/>
  </r>
  <r>
    <n v="15"/>
    <s v="55+"/>
    <s v="Male"/>
    <s v="Associate's Degree/Diploma"/>
    <x v="6"/>
    <s v="More than 5 years"/>
    <n v="3"/>
    <n v="4"/>
    <n v="5"/>
    <n v="5"/>
    <n v="6"/>
    <n v="7"/>
    <n v="6"/>
    <n v="7"/>
    <n v="7"/>
    <n v="6"/>
    <n v="5"/>
    <n v="6"/>
    <n v="4"/>
    <n v="5"/>
    <n v="4"/>
    <n v="5"/>
    <n v="5"/>
    <n v="4"/>
    <n v="5"/>
    <n v="5"/>
    <n v="4"/>
    <n v="5"/>
    <n v="5"/>
    <n v="5"/>
    <n v="5"/>
    <n v="4"/>
    <n v="4"/>
    <n v="4"/>
    <n v="5"/>
    <n v="4"/>
    <n v="5"/>
    <n v="4"/>
    <n v="5"/>
    <n v="4"/>
    <x v="11"/>
    <x v="62"/>
  </r>
  <r>
    <n v="15"/>
    <s v="55+"/>
    <s v="Male"/>
    <s v="Associate's Degree/Diploma"/>
    <x v="6"/>
    <s v="More than 5 years"/>
    <n v="3"/>
    <n v="4"/>
    <n v="5"/>
    <n v="5"/>
    <n v="6"/>
    <n v="7"/>
    <n v="6"/>
    <n v="7"/>
    <n v="7"/>
    <n v="6"/>
    <n v="5"/>
    <n v="6"/>
    <n v="4"/>
    <n v="5"/>
    <n v="4"/>
    <n v="5"/>
    <n v="5"/>
    <n v="4"/>
    <n v="5"/>
    <n v="5"/>
    <n v="4"/>
    <n v="5"/>
    <n v="5"/>
    <n v="5"/>
    <n v="5"/>
    <n v="4"/>
    <n v="4"/>
    <n v="4"/>
    <n v="5"/>
    <n v="4"/>
    <n v="5"/>
    <n v="4"/>
    <n v="5"/>
    <n v="4"/>
    <x v="12"/>
    <x v="2"/>
  </r>
  <r>
    <n v="15"/>
    <s v="55+"/>
    <s v="Male"/>
    <s v="Associate's Degree/Diploma"/>
    <x v="6"/>
    <s v="More than 5 years"/>
    <n v="3"/>
    <n v="4"/>
    <n v="5"/>
    <n v="5"/>
    <n v="6"/>
    <n v="7"/>
    <n v="6"/>
    <n v="7"/>
    <n v="7"/>
    <n v="6"/>
    <n v="5"/>
    <n v="6"/>
    <n v="4"/>
    <n v="5"/>
    <n v="4"/>
    <n v="5"/>
    <n v="5"/>
    <n v="4"/>
    <n v="5"/>
    <n v="5"/>
    <n v="4"/>
    <n v="5"/>
    <n v="5"/>
    <n v="5"/>
    <n v="5"/>
    <n v="4"/>
    <n v="4"/>
    <n v="4"/>
    <n v="5"/>
    <n v="4"/>
    <n v="5"/>
    <n v="4"/>
    <n v="5"/>
    <n v="4"/>
    <x v="13"/>
    <x v="72"/>
  </r>
  <r>
    <n v="16"/>
    <s v="35-44"/>
    <s v="Male"/>
    <s v="Master's Degree"/>
    <x v="7"/>
    <s v="3-5 years"/>
    <n v="5"/>
    <n v="5"/>
    <n v="3"/>
    <n v="4"/>
    <n v="4"/>
    <n v="6"/>
    <n v="3"/>
    <n v="2"/>
    <n v="2"/>
    <n v="5"/>
    <n v="2"/>
    <n v="2"/>
    <n v="5"/>
    <n v="5"/>
    <n v="5"/>
    <n v="4"/>
    <n v="5"/>
    <n v="5"/>
    <n v="4"/>
    <n v="3"/>
    <n v="5"/>
    <n v="5"/>
    <n v="2"/>
    <n v="5"/>
    <n v="1"/>
    <n v="1"/>
    <n v="3"/>
    <n v="4"/>
    <n v="1"/>
    <n v="1"/>
    <n v="1"/>
    <n v="1"/>
    <n v="1"/>
    <n v="2"/>
    <x v="0"/>
    <x v="0"/>
  </r>
  <r>
    <n v="16"/>
    <s v="35-44"/>
    <s v="Male"/>
    <s v="Master's Degree"/>
    <x v="7"/>
    <s v="3-5 years"/>
    <n v="5"/>
    <n v="5"/>
    <n v="3"/>
    <n v="4"/>
    <n v="4"/>
    <n v="6"/>
    <n v="3"/>
    <n v="2"/>
    <n v="2"/>
    <n v="5"/>
    <n v="2"/>
    <n v="2"/>
    <n v="5"/>
    <n v="5"/>
    <n v="5"/>
    <n v="4"/>
    <n v="5"/>
    <n v="5"/>
    <n v="4"/>
    <n v="3"/>
    <n v="5"/>
    <n v="5"/>
    <n v="2"/>
    <n v="5"/>
    <n v="1"/>
    <n v="1"/>
    <n v="3"/>
    <n v="4"/>
    <n v="1"/>
    <n v="1"/>
    <n v="1"/>
    <n v="1"/>
    <n v="1"/>
    <n v="2"/>
    <x v="1"/>
    <x v="49"/>
  </r>
  <r>
    <n v="16"/>
    <s v="35-44"/>
    <s v="Male"/>
    <s v="Master's Degree"/>
    <x v="7"/>
    <s v="3-5 years"/>
    <n v="5"/>
    <n v="5"/>
    <n v="3"/>
    <n v="4"/>
    <n v="4"/>
    <n v="6"/>
    <n v="3"/>
    <n v="2"/>
    <n v="2"/>
    <n v="5"/>
    <n v="2"/>
    <n v="2"/>
    <n v="5"/>
    <n v="5"/>
    <n v="5"/>
    <n v="4"/>
    <n v="5"/>
    <n v="5"/>
    <n v="4"/>
    <n v="3"/>
    <n v="5"/>
    <n v="5"/>
    <n v="2"/>
    <n v="5"/>
    <n v="1"/>
    <n v="1"/>
    <n v="3"/>
    <n v="4"/>
    <n v="1"/>
    <n v="1"/>
    <n v="1"/>
    <n v="1"/>
    <n v="1"/>
    <n v="2"/>
    <x v="2"/>
    <x v="31"/>
  </r>
  <r>
    <n v="16"/>
    <s v="35-44"/>
    <s v="Male"/>
    <s v="Master's Degree"/>
    <x v="7"/>
    <s v="3-5 years"/>
    <n v="5"/>
    <n v="5"/>
    <n v="3"/>
    <n v="4"/>
    <n v="4"/>
    <n v="6"/>
    <n v="3"/>
    <n v="2"/>
    <n v="2"/>
    <n v="5"/>
    <n v="2"/>
    <n v="2"/>
    <n v="5"/>
    <n v="5"/>
    <n v="5"/>
    <n v="4"/>
    <n v="5"/>
    <n v="5"/>
    <n v="4"/>
    <n v="3"/>
    <n v="5"/>
    <n v="5"/>
    <n v="2"/>
    <n v="5"/>
    <n v="1"/>
    <n v="1"/>
    <n v="3"/>
    <n v="4"/>
    <n v="1"/>
    <n v="1"/>
    <n v="1"/>
    <n v="1"/>
    <n v="1"/>
    <n v="2"/>
    <x v="3"/>
    <x v="22"/>
  </r>
  <r>
    <n v="16"/>
    <s v="35-44"/>
    <s v="Male"/>
    <s v="Master's Degree"/>
    <x v="7"/>
    <s v="3-5 years"/>
    <n v="5"/>
    <n v="5"/>
    <n v="3"/>
    <n v="4"/>
    <n v="4"/>
    <n v="6"/>
    <n v="3"/>
    <n v="2"/>
    <n v="2"/>
    <n v="5"/>
    <n v="2"/>
    <n v="2"/>
    <n v="5"/>
    <n v="5"/>
    <n v="5"/>
    <n v="4"/>
    <n v="5"/>
    <n v="5"/>
    <n v="4"/>
    <n v="3"/>
    <n v="5"/>
    <n v="5"/>
    <n v="2"/>
    <n v="5"/>
    <n v="1"/>
    <n v="1"/>
    <n v="3"/>
    <n v="4"/>
    <n v="1"/>
    <n v="1"/>
    <n v="1"/>
    <n v="1"/>
    <n v="1"/>
    <n v="2"/>
    <x v="4"/>
    <x v="4"/>
  </r>
  <r>
    <n v="16"/>
    <s v="35-44"/>
    <s v="Male"/>
    <s v="Master's Degree"/>
    <x v="7"/>
    <s v="3-5 years"/>
    <n v="5"/>
    <n v="5"/>
    <n v="3"/>
    <n v="4"/>
    <n v="4"/>
    <n v="6"/>
    <n v="3"/>
    <n v="2"/>
    <n v="2"/>
    <n v="5"/>
    <n v="2"/>
    <n v="2"/>
    <n v="5"/>
    <n v="5"/>
    <n v="5"/>
    <n v="4"/>
    <n v="5"/>
    <n v="5"/>
    <n v="4"/>
    <n v="3"/>
    <n v="5"/>
    <n v="5"/>
    <n v="2"/>
    <n v="5"/>
    <n v="1"/>
    <n v="1"/>
    <n v="3"/>
    <n v="4"/>
    <n v="1"/>
    <n v="1"/>
    <n v="1"/>
    <n v="1"/>
    <n v="1"/>
    <n v="2"/>
    <x v="5"/>
    <x v="33"/>
  </r>
  <r>
    <n v="16"/>
    <s v="35-44"/>
    <s v="Male"/>
    <s v="Master's Degree"/>
    <x v="7"/>
    <s v="3-5 years"/>
    <n v="5"/>
    <n v="5"/>
    <n v="3"/>
    <n v="4"/>
    <n v="4"/>
    <n v="6"/>
    <n v="3"/>
    <n v="2"/>
    <n v="2"/>
    <n v="5"/>
    <n v="2"/>
    <n v="2"/>
    <n v="5"/>
    <n v="5"/>
    <n v="5"/>
    <n v="4"/>
    <n v="5"/>
    <n v="5"/>
    <n v="4"/>
    <n v="3"/>
    <n v="5"/>
    <n v="5"/>
    <n v="2"/>
    <n v="5"/>
    <n v="1"/>
    <n v="1"/>
    <n v="3"/>
    <n v="4"/>
    <n v="1"/>
    <n v="1"/>
    <n v="1"/>
    <n v="1"/>
    <n v="1"/>
    <n v="2"/>
    <x v="6"/>
    <x v="6"/>
  </r>
  <r>
    <n v="16"/>
    <s v="35-44"/>
    <s v="Male"/>
    <s v="Master's Degree"/>
    <x v="7"/>
    <s v="3-5 years"/>
    <n v="5"/>
    <n v="5"/>
    <n v="3"/>
    <n v="4"/>
    <n v="4"/>
    <n v="6"/>
    <n v="3"/>
    <n v="2"/>
    <n v="2"/>
    <n v="5"/>
    <n v="2"/>
    <n v="2"/>
    <n v="5"/>
    <n v="5"/>
    <n v="5"/>
    <n v="4"/>
    <n v="5"/>
    <n v="5"/>
    <n v="4"/>
    <n v="3"/>
    <n v="5"/>
    <n v="5"/>
    <n v="2"/>
    <n v="5"/>
    <n v="1"/>
    <n v="1"/>
    <n v="3"/>
    <n v="4"/>
    <n v="1"/>
    <n v="1"/>
    <n v="1"/>
    <n v="1"/>
    <n v="1"/>
    <n v="2"/>
    <x v="7"/>
    <x v="83"/>
  </r>
  <r>
    <n v="16"/>
    <s v="35-44"/>
    <s v="Male"/>
    <s v="Master's Degree"/>
    <x v="7"/>
    <s v="3-5 years"/>
    <n v="5"/>
    <n v="5"/>
    <n v="3"/>
    <n v="4"/>
    <n v="4"/>
    <n v="6"/>
    <n v="3"/>
    <n v="2"/>
    <n v="2"/>
    <n v="5"/>
    <n v="2"/>
    <n v="2"/>
    <n v="5"/>
    <n v="5"/>
    <n v="5"/>
    <n v="4"/>
    <n v="5"/>
    <n v="5"/>
    <n v="4"/>
    <n v="3"/>
    <n v="5"/>
    <n v="5"/>
    <n v="2"/>
    <n v="5"/>
    <n v="1"/>
    <n v="1"/>
    <n v="3"/>
    <n v="4"/>
    <n v="1"/>
    <n v="1"/>
    <n v="1"/>
    <n v="1"/>
    <n v="1"/>
    <n v="2"/>
    <x v="8"/>
    <x v="36"/>
  </r>
  <r>
    <n v="16"/>
    <s v="35-44"/>
    <s v="Male"/>
    <s v="Master's Degree"/>
    <x v="7"/>
    <s v="3-5 years"/>
    <n v="5"/>
    <n v="5"/>
    <n v="3"/>
    <n v="4"/>
    <n v="4"/>
    <n v="6"/>
    <n v="3"/>
    <n v="2"/>
    <n v="2"/>
    <n v="5"/>
    <n v="2"/>
    <n v="2"/>
    <n v="5"/>
    <n v="5"/>
    <n v="5"/>
    <n v="4"/>
    <n v="5"/>
    <n v="5"/>
    <n v="4"/>
    <n v="3"/>
    <n v="5"/>
    <n v="5"/>
    <n v="2"/>
    <n v="5"/>
    <n v="1"/>
    <n v="1"/>
    <n v="3"/>
    <n v="4"/>
    <n v="1"/>
    <n v="1"/>
    <n v="1"/>
    <n v="1"/>
    <n v="1"/>
    <n v="2"/>
    <x v="9"/>
    <x v="60"/>
  </r>
  <r>
    <n v="16"/>
    <s v="35-44"/>
    <s v="Male"/>
    <s v="Master's Degree"/>
    <x v="7"/>
    <s v="3-5 years"/>
    <n v="5"/>
    <n v="5"/>
    <n v="3"/>
    <n v="4"/>
    <n v="4"/>
    <n v="6"/>
    <n v="3"/>
    <n v="2"/>
    <n v="2"/>
    <n v="5"/>
    <n v="2"/>
    <n v="2"/>
    <n v="5"/>
    <n v="5"/>
    <n v="5"/>
    <n v="4"/>
    <n v="5"/>
    <n v="5"/>
    <n v="4"/>
    <n v="3"/>
    <n v="5"/>
    <n v="5"/>
    <n v="2"/>
    <n v="5"/>
    <n v="1"/>
    <n v="1"/>
    <n v="3"/>
    <n v="4"/>
    <n v="1"/>
    <n v="1"/>
    <n v="1"/>
    <n v="1"/>
    <n v="1"/>
    <n v="2"/>
    <x v="10"/>
    <x v="84"/>
  </r>
  <r>
    <n v="16"/>
    <s v="35-44"/>
    <s v="Male"/>
    <s v="Master's Degree"/>
    <x v="7"/>
    <s v="3-5 years"/>
    <n v="5"/>
    <n v="5"/>
    <n v="3"/>
    <n v="4"/>
    <n v="4"/>
    <n v="6"/>
    <n v="3"/>
    <n v="2"/>
    <n v="2"/>
    <n v="5"/>
    <n v="2"/>
    <n v="2"/>
    <n v="5"/>
    <n v="5"/>
    <n v="5"/>
    <n v="4"/>
    <n v="5"/>
    <n v="5"/>
    <n v="4"/>
    <n v="3"/>
    <n v="5"/>
    <n v="5"/>
    <n v="2"/>
    <n v="5"/>
    <n v="1"/>
    <n v="1"/>
    <n v="3"/>
    <n v="4"/>
    <n v="1"/>
    <n v="1"/>
    <n v="1"/>
    <n v="1"/>
    <n v="1"/>
    <n v="2"/>
    <x v="11"/>
    <x v="11"/>
  </r>
  <r>
    <n v="16"/>
    <s v="35-44"/>
    <s v="Male"/>
    <s v="Master's Degree"/>
    <x v="7"/>
    <s v="3-5 years"/>
    <n v="5"/>
    <n v="5"/>
    <n v="3"/>
    <n v="4"/>
    <n v="4"/>
    <n v="6"/>
    <n v="3"/>
    <n v="2"/>
    <n v="2"/>
    <n v="5"/>
    <n v="2"/>
    <n v="2"/>
    <n v="5"/>
    <n v="5"/>
    <n v="5"/>
    <n v="4"/>
    <n v="5"/>
    <n v="5"/>
    <n v="4"/>
    <n v="3"/>
    <n v="5"/>
    <n v="5"/>
    <n v="2"/>
    <n v="5"/>
    <n v="1"/>
    <n v="1"/>
    <n v="3"/>
    <n v="4"/>
    <n v="1"/>
    <n v="1"/>
    <n v="1"/>
    <n v="1"/>
    <n v="1"/>
    <n v="2"/>
    <x v="12"/>
    <x v="12"/>
  </r>
  <r>
    <n v="16"/>
    <s v="35-44"/>
    <s v="Male"/>
    <s v="Master's Degree"/>
    <x v="7"/>
    <s v="3-5 years"/>
    <n v="5"/>
    <n v="5"/>
    <n v="3"/>
    <n v="4"/>
    <n v="4"/>
    <n v="6"/>
    <n v="3"/>
    <n v="2"/>
    <n v="2"/>
    <n v="5"/>
    <n v="2"/>
    <n v="2"/>
    <n v="5"/>
    <n v="5"/>
    <n v="5"/>
    <n v="4"/>
    <n v="5"/>
    <n v="5"/>
    <n v="4"/>
    <n v="3"/>
    <n v="5"/>
    <n v="5"/>
    <n v="2"/>
    <n v="5"/>
    <n v="1"/>
    <n v="1"/>
    <n v="3"/>
    <n v="4"/>
    <n v="1"/>
    <n v="1"/>
    <n v="1"/>
    <n v="1"/>
    <n v="1"/>
    <n v="2"/>
    <x v="13"/>
    <x v="66"/>
  </r>
  <r>
    <n v="17"/>
    <s v="55+"/>
    <s v="Male"/>
    <s v="Bachelor's Degree"/>
    <x v="5"/>
    <s v="More than 5 years"/>
    <n v="2"/>
    <n v="2"/>
    <n v="3"/>
    <n v="3"/>
    <n v="3"/>
    <n v="2"/>
    <n v="2"/>
    <n v="3"/>
    <n v="3"/>
    <n v="3"/>
    <n v="2"/>
    <n v="2"/>
    <n v="3"/>
    <n v="2"/>
    <n v="2"/>
    <n v="1"/>
    <n v="2"/>
    <n v="3"/>
    <n v="1"/>
    <n v="2"/>
    <n v="3"/>
    <n v="2"/>
    <n v="1"/>
    <n v="1"/>
    <n v="1"/>
    <n v="1"/>
    <n v="5"/>
    <n v="5"/>
    <n v="3"/>
    <n v="2"/>
    <n v="4"/>
    <n v="3"/>
    <n v="1"/>
    <n v="2"/>
    <x v="0"/>
    <x v="0"/>
  </r>
  <r>
    <n v="17"/>
    <s v="55+"/>
    <s v="Male"/>
    <s v="Bachelor's Degree"/>
    <x v="5"/>
    <s v="More than 5 years"/>
    <n v="2"/>
    <n v="2"/>
    <n v="3"/>
    <n v="3"/>
    <n v="3"/>
    <n v="2"/>
    <n v="2"/>
    <n v="3"/>
    <n v="3"/>
    <n v="3"/>
    <n v="2"/>
    <n v="2"/>
    <n v="3"/>
    <n v="2"/>
    <n v="2"/>
    <n v="1"/>
    <n v="2"/>
    <n v="3"/>
    <n v="1"/>
    <n v="2"/>
    <n v="3"/>
    <n v="2"/>
    <n v="1"/>
    <n v="1"/>
    <n v="1"/>
    <n v="1"/>
    <n v="5"/>
    <n v="5"/>
    <n v="3"/>
    <n v="2"/>
    <n v="4"/>
    <n v="3"/>
    <n v="1"/>
    <n v="2"/>
    <x v="1"/>
    <x v="14"/>
  </r>
  <r>
    <n v="17"/>
    <s v="55+"/>
    <s v="Male"/>
    <s v="Bachelor's Degree"/>
    <x v="5"/>
    <s v="More than 5 years"/>
    <n v="2"/>
    <n v="2"/>
    <n v="3"/>
    <n v="3"/>
    <n v="3"/>
    <n v="2"/>
    <n v="2"/>
    <n v="3"/>
    <n v="3"/>
    <n v="3"/>
    <n v="2"/>
    <n v="2"/>
    <n v="3"/>
    <n v="2"/>
    <n v="2"/>
    <n v="1"/>
    <n v="2"/>
    <n v="3"/>
    <n v="1"/>
    <n v="2"/>
    <n v="3"/>
    <n v="2"/>
    <n v="1"/>
    <n v="1"/>
    <n v="1"/>
    <n v="1"/>
    <n v="5"/>
    <n v="5"/>
    <n v="3"/>
    <n v="2"/>
    <n v="4"/>
    <n v="3"/>
    <n v="1"/>
    <n v="2"/>
    <x v="2"/>
    <x v="31"/>
  </r>
  <r>
    <n v="17"/>
    <s v="55+"/>
    <s v="Male"/>
    <s v="Bachelor's Degree"/>
    <x v="5"/>
    <s v="More than 5 years"/>
    <n v="2"/>
    <n v="2"/>
    <n v="3"/>
    <n v="3"/>
    <n v="3"/>
    <n v="2"/>
    <n v="2"/>
    <n v="3"/>
    <n v="3"/>
    <n v="3"/>
    <n v="2"/>
    <n v="2"/>
    <n v="3"/>
    <n v="2"/>
    <n v="2"/>
    <n v="1"/>
    <n v="2"/>
    <n v="3"/>
    <n v="1"/>
    <n v="2"/>
    <n v="3"/>
    <n v="2"/>
    <n v="1"/>
    <n v="1"/>
    <n v="1"/>
    <n v="1"/>
    <n v="5"/>
    <n v="5"/>
    <n v="3"/>
    <n v="2"/>
    <n v="4"/>
    <n v="3"/>
    <n v="1"/>
    <n v="2"/>
    <x v="3"/>
    <x v="22"/>
  </r>
  <r>
    <n v="17"/>
    <s v="55+"/>
    <s v="Male"/>
    <s v="Bachelor's Degree"/>
    <x v="5"/>
    <s v="More than 5 years"/>
    <n v="2"/>
    <n v="2"/>
    <n v="3"/>
    <n v="3"/>
    <n v="3"/>
    <n v="2"/>
    <n v="2"/>
    <n v="3"/>
    <n v="3"/>
    <n v="3"/>
    <n v="2"/>
    <n v="2"/>
    <n v="3"/>
    <n v="2"/>
    <n v="2"/>
    <n v="1"/>
    <n v="2"/>
    <n v="3"/>
    <n v="1"/>
    <n v="2"/>
    <n v="3"/>
    <n v="2"/>
    <n v="1"/>
    <n v="1"/>
    <n v="1"/>
    <n v="1"/>
    <n v="5"/>
    <n v="5"/>
    <n v="3"/>
    <n v="2"/>
    <n v="4"/>
    <n v="3"/>
    <n v="1"/>
    <n v="2"/>
    <x v="4"/>
    <x v="4"/>
  </r>
  <r>
    <n v="17"/>
    <s v="55+"/>
    <s v="Male"/>
    <s v="Bachelor's Degree"/>
    <x v="5"/>
    <s v="More than 5 years"/>
    <n v="2"/>
    <n v="2"/>
    <n v="3"/>
    <n v="3"/>
    <n v="3"/>
    <n v="2"/>
    <n v="2"/>
    <n v="3"/>
    <n v="3"/>
    <n v="3"/>
    <n v="2"/>
    <n v="2"/>
    <n v="3"/>
    <n v="2"/>
    <n v="2"/>
    <n v="1"/>
    <n v="2"/>
    <n v="3"/>
    <n v="1"/>
    <n v="2"/>
    <n v="3"/>
    <n v="2"/>
    <n v="1"/>
    <n v="1"/>
    <n v="1"/>
    <n v="1"/>
    <n v="5"/>
    <n v="5"/>
    <n v="3"/>
    <n v="2"/>
    <n v="4"/>
    <n v="3"/>
    <n v="1"/>
    <n v="2"/>
    <x v="5"/>
    <x v="5"/>
  </r>
  <r>
    <n v="17"/>
    <s v="55+"/>
    <s v="Male"/>
    <s v="Bachelor's Degree"/>
    <x v="5"/>
    <s v="More than 5 years"/>
    <n v="2"/>
    <n v="2"/>
    <n v="3"/>
    <n v="3"/>
    <n v="3"/>
    <n v="2"/>
    <n v="2"/>
    <n v="3"/>
    <n v="3"/>
    <n v="3"/>
    <n v="2"/>
    <n v="2"/>
    <n v="3"/>
    <n v="2"/>
    <n v="2"/>
    <n v="1"/>
    <n v="2"/>
    <n v="3"/>
    <n v="1"/>
    <n v="2"/>
    <n v="3"/>
    <n v="2"/>
    <n v="1"/>
    <n v="1"/>
    <n v="1"/>
    <n v="1"/>
    <n v="5"/>
    <n v="5"/>
    <n v="3"/>
    <n v="2"/>
    <n v="4"/>
    <n v="3"/>
    <n v="1"/>
    <n v="2"/>
    <x v="6"/>
    <x v="34"/>
  </r>
  <r>
    <n v="17"/>
    <s v="55+"/>
    <s v="Male"/>
    <s v="Bachelor's Degree"/>
    <x v="5"/>
    <s v="More than 5 years"/>
    <n v="2"/>
    <n v="2"/>
    <n v="3"/>
    <n v="3"/>
    <n v="3"/>
    <n v="2"/>
    <n v="2"/>
    <n v="3"/>
    <n v="3"/>
    <n v="3"/>
    <n v="2"/>
    <n v="2"/>
    <n v="3"/>
    <n v="2"/>
    <n v="2"/>
    <n v="1"/>
    <n v="2"/>
    <n v="3"/>
    <n v="1"/>
    <n v="2"/>
    <n v="3"/>
    <n v="2"/>
    <n v="1"/>
    <n v="1"/>
    <n v="1"/>
    <n v="1"/>
    <n v="5"/>
    <n v="5"/>
    <n v="3"/>
    <n v="2"/>
    <n v="4"/>
    <n v="3"/>
    <n v="1"/>
    <n v="2"/>
    <x v="7"/>
    <x v="85"/>
  </r>
  <r>
    <n v="17"/>
    <s v="55+"/>
    <s v="Male"/>
    <s v="Bachelor's Degree"/>
    <x v="5"/>
    <s v="More than 5 years"/>
    <n v="2"/>
    <n v="2"/>
    <n v="3"/>
    <n v="3"/>
    <n v="3"/>
    <n v="2"/>
    <n v="2"/>
    <n v="3"/>
    <n v="3"/>
    <n v="3"/>
    <n v="2"/>
    <n v="2"/>
    <n v="3"/>
    <n v="2"/>
    <n v="2"/>
    <n v="1"/>
    <n v="2"/>
    <n v="3"/>
    <n v="1"/>
    <n v="2"/>
    <n v="3"/>
    <n v="2"/>
    <n v="1"/>
    <n v="1"/>
    <n v="1"/>
    <n v="1"/>
    <n v="5"/>
    <n v="5"/>
    <n v="3"/>
    <n v="2"/>
    <n v="4"/>
    <n v="3"/>
    <n v="1"/>
    <n v="2"/>
    <x v="8"/>
    <x v="41"/>
  </r>
  <r>
    <n v="17"/>
    <s v="55+"/>
    <s v="Male"/>
    <s v="Bachelor's Degree"/>
    <x v="5"/>
    <s v="More than 5 years"/>
    <n v="2"/>
    <n v="2"/>
    <n v="3"/>
    <n v="3"/>
    <n v="3"/>
    <n v="2"/>
    <n v="2"/>
    <n v="3"/>
    <n v="3"/>
    <n v="3"/>
    <n v="2"/>
    <n v="2"/>
    <n v="3"/>
    <n v="2"/>
    <n v="2"/>
    <n v="1"/>
    <n v="2"/>
    <n v="3"/>
    <n v="1"/>
    <n v="2"/>
    <n v="3"/>
    <n v="2"/>
    <n v="1"/>
    <n v="1"/>
    <n v="1"/>
    <n v="1"/>
    <n v="5"/>
    <n v="5"/>
    <n v="3"/>
    <n v="2"/>
    <n v="4"/>
    <n v="3"/>
    <n v="1"/>
    <n v="2"/>
    <x v="9"/>
    <x v="60"/>
  </r>
  <r>
    <n v="17"/>
    <s v="55+"/>
    <s v="Male"/>
    <s v="Bachelor's Degree"/>
    <x v="5"/>
    <s v="More than 5 years"/>
    <n v="2"/>
    <n v="2"/>
    <n v="3"/>
    <n v="3"/>
    <n v="3"/>
    <n v="2"/>
    <n v="2"/>
    <n v="3"/>
    <n v="3"/>
    <n v="3"/>
    <n v="2"/>
    <n v="2"/>
    <n v="3"/>
    <n v="2"/>
    <n v="2"/>
    <n v="1"/>
    <n v="2"/>
    <n v="3"/>
    <n v="1"/>
    <n v="2"/>
    <n v="3"/>
    <n v="2"/>
    <n v="1"/>
    <n v="1"/>
    <n v="1"/>
    <n v="1"/>
    <n v="5"/>
    <n v="5"/>
    <n v="3"/>
    <n v="2"/>
    <n v="4"/>
    <n v="3"/>
    <n v="1"/>
    <n v="2"/>
    <x v="10"/>
    <x v="86"/>
  </r>
  <r>
    <n v="17"/>
    <s v="55+"/>
    <s v="Male"/>
    <s v="Bachelor's Degree"/>
    <x v="5"/>
    <s v="More than 5 years"/>
    <n v="2"/>
    <n v="2"/>
    <n v="3"/>
    <n v="3"/>
    <n v="3"/>
    <n v="2"/>
    <n v="2"/>
    <n v="3"/>
    <n v="3"/>
    <n v="3"/>
    <n v="2"/>
    <n v="2"/>
    <n v="3"/>
    <n v="2"/>
    <n v="2"/>
    <n v="1"/>
    <n v="2"/>
    <n v="3"/>
    <n v="1"/>
    <n v="2"/>
    <n v="3"/>
    <n v="2"/>
    <n v="1"/>
    <n v="1"/>
    <n v="1"/>
    <n v="1"/>
    <n v="5"/>
    <n v="5"/>
    <n v="3"/>
    <n v="2"/>
    <n v="4"/>
    <n v="3"/>
    <n v="1"/>
    <n v="2"/>
    <x v="11"/>
    <x v="62"/>
  </r>
  <r>
    <n v="17"/>
    <s v="55+"/>
    <s v="Male"/>
    <s v="Bachelor's Degree"/>
    <x v="5"/>
    <s v="More than 5 years"/>
    <n v="2"/>
    <n v="2"/>
    <n v="3"/>
    <n v="3"/>
    <n v="3"/>
    <n v="2"/>
    <n v="2"/>
    <n v="3"/>
    <n v="3"/>
    <n v="3"/>
    <n v="2"/>
    <n v="2"/>
    <n v="3"/>
    <n v="2"/>
    <n v="2"/>
    <n v="1"/>
    <n v="2"/>
    <n v="3"/>
    <n v="1"/>
    <n v="2"/>
    <n v="3"/>
    <n v="2"/>
    <n v="1"/>
    <n v="1"/>
    <n v="1"/>
    <n v="1"/>
    <n v="5"/>
    <n v="5"/>
    <n v="3"/>
    <n v="2"/>
    <n v="4"/>
    <n v="3"/>
    <n v="1"/>
    <n v="2"/>
    <x v="12"/>
    <x v="87"/>
  </r>
  <r>
    <n v="17"/>
    <s v="55+"/>
    <s v="Male"/>
    <s v="Bachelor's Degree"/>
    <x v="5"/>
    <s v="More than 5 years"/>
    <n v="2"/>
    <n v="2"/>
    <n v="3"/>
    <n v="3"/>
    <n v="3"/>
    <n v="2"/>
    <n v="2"/>
    <n v="3"/>
    <n v="3"/>
    <n v="3"/>
    <n v="2"/>
    <n v="2"/>
    <n v="3"/>
    <n v="2"/>
    <n v="2"/>
    <n v="1"/>
    <n v="2"/>
    <n v="3"/>
    <n v="1"/>
    <n v="2"/>
    <n v="3"/>
    <n v="2"/>
    <n v="1"/>
    <n v="1"/>
    <n v="1"/>
    <n v="1"/>
    <n v="5"/>
    <n v="5"/>
    <n v="3"/>
    <n v="2"/>
    <n v="4"/>
    <n v="3"/>
    <n v="1"/>
    <n v="2"/>
    <x v="13"/>
    <x v="30"/>
  </r>
  <r>
    <n v="18"/>
    <s v="55+"/>
    <s v="Male"/>
    <s v="Bachelor's Degree"/>
    <x v="5"/>
    <s v="More than 5 years"/>
    <n v="5"/>
    <n v="5"/>
    <n v="5"/>
    <n v="5"/>
    <n v="4"/>
    <n v="7"/>
    <n v="7"/>
    <n v="5"/>
    <n v="4"/>
    <n v="6"/>
    <n v="3"/>
    <n v="3"/>
    <n v="5"/>
    <n v="4"/>
    <n v="4"/>
    <n v="5"/>
    <n v="4"/>
    <n v="4"/>
    <n v="4"/>
    <n v="4"/>
    <n v="5"/>
    <n v="3"/>
    <n v="5"/>
    <n v="2"/>
    <n v="3"/>
    <n v="5"/>
    <n v="4"/>
    <n v="3"/>
    <n v="3"/>
    <n v="2"/>
    <n v="3"/>
    <n v="5"/>
    <n v="5"/>
    <n v="3"/>
    <x v="0"/>
    <x v="0"/>
  </r>
  <r>
    <n v="18"/>
    <s v="55+"/>
    <s v="Male"/>
    <s v="Bachelor's Degree"/>
    <x v="5"/>
    <s v="More than 5 years"/>
    <n v="5"/>
    <n v="5"/>
    <n v="5"/>
    <n v="5"/>
    <n v="4"/>
    <n v="7"/>
    <n v="7"/>
    <n v="5"/>
    <n v="4"/>
    <n v="6"/>
    <n v="3"/>
    <n v="3"/>
    <n v="5"/>
    <n v="4"/>
    <n v="4"/>
    <n v="5"/>
    <n v="4"/>
    <n v="4"/>
    <n v="4"/>
    <n v="4"/>
    <n v="5"/>
    <n v="3"/>
    <n v="5"/>
    <n v="2"/>
    <n v="3"/>
    <n v="5"/>
    <n v="4"/>
    <n v="3"/>
    <n v="3"/>
    <n v="2"/>
    <n v="3"/>
    <n v="5"/>
    <n v="5"/>
    <n v="3"/>
    <x v="1"/>
    <x v="1"/>
  </r>
  <r>
    <n v="18"/>
    <s v="55+"/>
    <s v="Male"/>
    <s v="Bachelor's Degree"/>
    <x v="5"/>
    <s v="More than 5 years"/>
    <n v="5"/>
    <n v="5"/>
    <n v="5"/>
    <n v="5"/>
    <n v="4"/>
    <n v="7"/>
    <n v="7"/>
    <n v="5"/>
    <n v="4"/>
    <n v="6"/>
    <n v="3"/>
    <n v="3"/>
    <n v="5"/>
    <n v="4"/>
    <n v="4"/>
    <n v="5"/>
    <n v="4"/>
    <n v="4"/>
    <n v="4"/>
    <n v="4"/>
    <n v="5"/>
    <n v="3"/>
    <n v="5"/>
    <n v="2"/>
    <n v="3"/>
    <n v="5"/>
    <n v="4"/>
    <n v="3"/>
    <n v="3"/>
    <n v="2"/>
    <n v="3"/>
    <n v="5"/>
    <n v="5"/>
    <n v="3"/>
    <x v="2"/>
    <x v="31"/>
  </r>
  <r>
    <n v="18"/>
    <s v="55+"/>
    <s v="Male"/>
    <s v="Bachelor's Degree"/>
    <x v="5"/>
    <s v="More than 5 years"/>
    <n v="5"/>
    <n v="5"/>
    <n v="5"/>
    <n v="5"/>
    <n v="4"/>
    <n v="7"/>
    <n v="7"/>
    <n v="5"/>
    <n v="4"/>
    <n v="6"/>
    <n v="3"/>
    <n v="3"/>
    <n v="5"/>
    <n v="4"/>
    <n v="4"/>
    <n v="5"/>
    <n v="4"/>
    <n v="4"/>
    <n v="4"/>
    <n v="4"/>
    <n v="5"/>
    <n v="3"/>
    <n v="5"/>
    <n v="2"/>
    <n v="3"/>
    <n v="5"/>
    <n v="4"/>
    <n v="3"/>
    <n v="3"/>
    <n v="2"/>
    <n v="3"/>
    <n v="5"/>
    <n v="5"/>
    <n v="3"/>
    <x v="3"/>
    <x v="22"/>
  </r>
  <r>
    <n v="18"/>
    <s v="55+"/>
    <s v="Male"/>
    <s v="Bachelor's Degree"/>
    <x v="5"/>
    <s v="More than 5 years"/>
    <n v="5"/>
    <n v="5"/>
    <n v="5"/>
    <n v="5"/>
    <n v="4"/>
    <n v="7"/>
    <n v="7"/>
    <n v="5"/>
    <n v="4"/>
    <n v="6"/>
    <n v="3"/>
    <n v="3"/>
    <n v="5"/>
    <n v="4"/>
    <n v="4"/>
    <n v="5"/>
    <n v="4"/>
    <n v="4"/>
    <n v="4"/>
    <n v="4"/>
    <n v="5"/>
    <n v="3"/>
    <n v="5"/>
    <n v="2"/>
    <n v="3"/>
    <n v="5"/>
    <n v="4"/>
    <n v="3"/>
    <n v="3"/>
    <n v="2"/>
    <n v="3"/>
    <n v="5"/>
    <n v="5"/>
    <n v="3"/>
    <x v="4"/>
    <x v="80"/>
  </r>
  <r>
    <n v="18"/>
    <s v="55+"/>
    <s v="Male"/>
    <s v="Bachelor's Degree"/>
    <x v="5"/>
    <s v="More than 5 years"/>
    <n v="5"/>
    <n v="5"/>
    <n v="5"/>
    <n v="5"/>
    <n v="4"/>
    <n v="7"/>
    <n v="7"/>
    <n v="5"/>
    <n v="4"/>
    <n v="6"/>
    <n v="3"/>
    <n v="3"/>
    <n v="5"/>
    <n v="4"/>
    <n v="4"/>
    <n v="5"/>
    <n v="4"/>
    <n v="4"/>
    <n v="4"/>
    <n v="4"/>
    <n v="5"/>
    <n v="3"/>
    <n v="5"/>
    <n v="2"/>
    <n v="3"/>
    <n v="5"/>
    <n v="4"/>
    <n v="3"/>
    <n v="3"/>
    <n v="2"/>
    <n v="3"/>
    <n v="5"/>
    <n v="5"/>
    <n v="3"/>
    <x v="5"/>
    <x v="24"/>
  </r>
  <r>
    <n v="18"/>
    <s v="55+"/>
    <s v="Male"/>
    <s v="Bachelor's Degree"/>
    <x v="5"/>
    <s v="More than 5 years"/>
    <n v="5"/>
    <n v="5"/>
    <n v="5"/>
    <n v="5"/>
    <n v="4"/>
    <n v="7"/>
    <n v="7"/>
    <n v="5"/>
    <n v="4"/>
    <n v="6"/>
    <n v="3"/>
    <n v="3"/>
    <n v="5"/>
    <n v="4"/>
    <n v="4"/>
    <n v="5"/>
    <n v="4"/>
    <n v="4"/>
    <n v="4"/>
    <n v="4"/>
    <n v="5"/>
    <n v="3"/>
    <n v="5"/>
    <n v="2"/>
    <n v="3"/>
    <n v="5"/>
    <n v="4"/>
    <n v="3"/>
    <n v="3"/>
    <n v="2"/>
    <n v="3"/>
    <n v="5"/>
    <n v="5"/>
    <n v="3"/>
    <x v="6"/>
    <x v="6"/>
  </r>
  <r>
    <n v="18"/>
    <s v="55+"/>
    <s v="Male"/>
    <s v="Bachelor's Degree"/>
    <x v="5"/>
    <s v="More than 5 years"/>
    <n v="5"/>
    <n v="5"/>
    <n v="5"/>
    <n v="5"/>
    <n v="4"/>
    <n v="7"/>
    <n v="7"/>
    <n v="5"/>
    <n v="4"/>
    <n v="6"/>
    <n v="3"/>
    <n v="3"/>
    <n v="5"/>
    <n v="4"/>
    <n v="4"/>
    <n v="5"/>
    <n v="4"/>
    <n v="4"/>
    <n v="4"/>
    <n v="4"/>
    <n v="5"/>
    <n v="3"/>
    <n v="5"/>
    <n v="2"/>
    <n v="3"/>
    <n v="5"/>
    <n v="4"/>
    <n v="3"/>
    <n v="3"/>
    <n v="2"/>
    <n v="3"/>
    <n v="5"/>
    <n v="5"/>
    <n v="3"/>
    <x v="7"/>
    <x v="88"/>
  </r>
  <r>
    <n v="18"/>
    <s v="55+"/>
    <s v="Male"/>
    <s v="Bachelor's Degree"/>
    <x v="5"/>
    <s v="More than 5 years"/>
    <n v="5"/>
    <n v="5"/>
    <n v="5"/>
    <n v="5"/>
    <n v="4"/>
    <n v="7"/>
    <n v="7"/>
    <n v="5"/>
    <n v="4"/>
    <n v="6"/>
    <n v="3"/>
    <n v="3"/>
    <n v="5"/>
    <n v="4"/>
    <n v="4"/>
    <n v="5"/>
    <n v="4"/>
    <n v="4"/>
    <n v="4"/>
    <n v="4"/>
    <n v="5"/>
    <n v="3"/>
    <n v="5"/>
    <n v="2"/>
    <n v="3"/>
    <n v="5"/>
    <n v="4"/>
    <n v="3"/>
    <n v="3"/>
    <n v="2"/>
    <n v="3"/>
    <n v="5"/>
    <n v="5"/>
    <n v="3"/>
    <x v="8"/>
    <x v="36"/>
  </r>
  <r>
    <n v="18"/>
    <s v="55+"/>
    <s v="Male"/>
    <s v="Bachelor's Degree"/>
    <x v="5"/>
    <s v="More than 5 years"/>
    <n v="5"/>
    <n v="5"/>
    <n v="5"/>
    <n v="5"/>
    <n v="4"/>
    <n v="7"/>
    <n v="7"/>
    <n v="5"/>
    <n v="4"/>
    <n v="6"/>
    <n v="3"/>
    <n v="3"/>
    <n v="5"/>
    <n v="4"/>
    <n v="4"/>
    <n v="5"/>
    <n v="4"/>
    <n v="4"/>
    <n v="4"/>
    <n v="4"/>
    <n v="5"/>
    <n v="3"/>
    <n v="5"/>
    <n v="2"/>
    <n v="3"/>
    <n v="5"/>
    <n v="4"/>
    <n v="3"/>
    <n v="3"/>
    <n v="2"/>
    <n v="3"/>
    <n v="5"/>
    <n v="5"/>
    <n v="3"/>
    <x v="9"/>
    <x v="9"/>
  </r>
  <r>
    <n v="18"/>
    <s v="55+"/>
    <s v="Male"/>
    <s v="Bachelor's Degree"/>
    <x v="5"/>
    <s v="More than 5 years"/>
    <n v="5"/>
    <n v="5"/>
    <n v="5"/>
    <n v="5"/>
    <n v="4"/>
    <n v="7"/>
    <n v="7"/>
    <n v="5"/>
    <n v="4"/>
    <n v="6"/>
    <n v="3"/>
    <n v="3"/>
    <n v="5"/>
    <n v="4"/>
    <n v="4"/>
    <n v="5"/>
    <n v="4"/>
    <n v="4"/>
    <n v="4"/>
    <n v="4"/>
    <n v="5"/>
    <n v="3"/>
    <n v="5"/>
    <n v="2"/>
    <n v="3"/>
    <n v="5"/>
    <n v="4"/>
    <n v="3"/>
    <n v="3"/>
    <n v="2"/>
    <n v="3"/>
    <n v="5"/>
    <n v="5"/>
    <n v="3"/>
    <x v="10"/>
    <x v="89"/>
  </r>
  <r>
    <n v="18"/>
    <s v="55+"/>
    <s v="Male"/>
    <s v="Bachelor's Degree"/>
    <x v="5"/>
    <s v="More than 5 years"/>
    <n v="5"/>
    <n v="5"/>
    <n v="5"/>
    <n v="5"/>
    <n v="4"/>
    <n v="7"/>
    <n v="7"/>
    <n v="5"/>
    <n v="4"/>
    <n v="6"/>
    <n v="3"/>
    <n v="3"/>
    <n v="5"/>
    <n v="4"/>
    <n v="4"/>
    <n v="5"/>
    <n v="4"/>
    <n v="4"/>
    <n v="4"/>
    <n v="4"/>
    <n v="5"/>
    <n v="3"/>
    <n v="5"/>
    <n v="2"/>
    <n v="3"/>
    <n v="5"/>
    <n v="4"/>
    <n v="3"/>
    <n v="3"/>
    <n v="2"/>
    <n v="3"/>
    <n v="5"/>
    <n v="5"/>
    <n v="3"/>
    <x v="11"/>
    <x v="11"/>
  </r>
  <r>
    <n v="18"/>
    <s v="55+"/>
    <s v="Male"/>
    <s v="Bachelor's Degree"/>
    <x v="5"/>
    <s v="More than 5 years"/>
    <n v="5"/>
    <n v="5"/>
    <n v="5"/>
    <n v="5"/>
    <n v="4"/>
    <n v="7"/>
    <n v="7"/>
    <n v="5"/>
    <n v="4"/>
    <n v="6"/>
    <n v="3"/>
    <n v="3"/>
    <n v="5"/>
    <n v="4"/>
    <n v="4"/>
    <n v="5"/>
    <n v="4"/>
    <n v="4"/>
    <n v="4"/>
    <n v="4"/>
    <n v="5"/>
    <n v="3"/>
    <n v="5"/>
    <n v="2"/>
    <n v="3"/>
    <n v="5"/>
    <n v="4"/>
    <n v="3"/>
    <n v="3"/>
    <n v="2"/>
    <n v="3"/>
    <n v="5"/>
    <n v="5"/>
    <n v="3"/>
    <x v="12"/>
    <x v="87"/>
  </r>
  <r>
    <n v="18"/>
    <s v="55+"/>
    <s v="Male"/>
    <s v="Bachelor's Degree"/>
    <x v="5"/>
    <s v="More than 5 years"/>
    <n v="5"/>
    <n v="5"/>
    <n v="5"/>
    <n v="5"/>
    <n v="4"/>
    <n v="7"/>
    <n v="7"/>
    <n v="5"/>
    <n v="4"/>
    <n v="6"/>
    <n v="3"/>
    <n v="3"/>
    <n v="5"/>
    <n v="4"/>
    <n v="4"/>
    <n v="5"/>
    <n v="4"/>
    <n v="4"/>
    <n v="4"/>
    <n v="4"/>
    <n v="5"/>
    <n v="3"/>
    <n v="5"/>
    <n v="2"/>
    <n v="3"/>
    <n v="5"/>
    <n v="4"/>
    <n v="3"/>
    <n v="3"/>
    <n v="2"/>
    <n v="3"/>
    <n v="5"/>
    <n v="5"/>
    <n v="3"/>
    <x v="13"/>
    <x v="90"/>
  </r>
  <r>
    <n v="19"/>
    <s v="35-44"/>
    <s v="Male"/>
    <s v="Bachelor's Degree"/>
    <x v="1"/>
    <s v="More than 5 years"/>
    <n v="5"/>
    <n v="4"/>
    <n v="5"/>
    <n v="4"/>
    <n v="6"/>
    <n v="5"/>
    <n v="6"/>
    <n v="6"/>
    <n v="6"/>
    <n v="6"/>
    <n v="6"/>
    <n v="6"/>
    <n v="5"/>
    <n v="5"/>
    <n v="4"/>
    <n v="5"/>
    <n v="4"/>
    <n v="4"/>
    <n v="4"/>
    <n v="4"/>
    <n v="4"/>
    <n v="4"/>
    <n v="3"/>
    <n v="4"/>
    <n v="3"/>
    <n v="3"/>
    <n v="2"/>
    <n v="2"/>
    <n v="3"/>
    <n v="2"/>
    <n v="2"/>
    <n v="2"/>
    <n v="3"/>
    <n v="3"/>
    <x v="0"/>
    <x v="0"/>
  </r>
  <r>
    <n v="19"/>
    <s v="35-44"/>
    <s v="Male"/>
    <s v="Bachelor's Degree"/>
    <x v="1"/>
    <s v="More than 5 years"/>
    <n v="5"/>
    <n v="4"/>
    <n v="5"/>
    <n v="4"/>
    <n v="6"/>
    <n v="5"/>
    <n v="6"/>
    <n v="6"/>
    <n v="6"/>
    <n v="6"/>
    <n v="6"/>
    <n v="6"/>
    <n v="5"/>
    <n v="5"/>
    <n v="4"/>
    <n v="5"/>
    <n v="4"/>
    <n v="4"/>
    <n v="4"/>
    <n v="4"/>
    <n v="4"/>
    <n v="4"/>
    <n v="3"/>
    <n v="4"/>
    <n v="3"/>
    <n v="3"/>
    <n v="2"/>
    <n v="2"/>
    <n v="3"/>
    <n v="2"/>
    <n v="2"/>
    <n v="2"/>
    <n v="3"/>
    <n v="3"/>
    <x v="1"/>
    <x v="14"/>
  </r>
  <r>
    <n v="19"/>
    <s v="35-44"/>
    <s v="Male"/>
    <s v="Bachelor's Degree"/>
    <x v="1"/>
    <s v="More than 5 years"/>
    <n v="5"/>
    <n v="4"/>
    <n v="5"/>
    <n v="4"/>
    <n v="6"/>
    <n v="5"/>
    <n v="6"/>
    <n v="6"/>
    <n v="6"/>
    <n v="6"/>
    <n v="6"/>
    <n v="6"/>
    <n v="5"/>
    <n v="5"/>
    <n v="4"/>
    <n v="5"/>
    <n v="4"/>
    <n v="4"/>
    <n v="4"/>
    <n v="4"/>
    <n v="4"/>
    <n v="4"/>
    <n v="3"/>
    <n v="4"/>
    <n v="3"/>
    <n v="3"/>
    <n v="2"/>
    <n v="2"/>
    <n v="3"/>
    <n v="2"/>
    <n v="2"/>
    <n v="2"/>
    <n v="3"/>
    <n v="3"/>
    <x v="2"/>
    <x v="79"/>
  </r>
  <r>
    <n v="19"/>
    <s v="35-44"/>
    <s v="Male"/>
    <s v="Bachelor's Degree"/>
    <x v="1"/>
    <s v="More than 5 years"/>
    <n v="5"/>
    <n v="4"/>
    <n v="5"/>
    <n v="4"/>
    <n v="6"/>
    <n v="5"/>
    <n v="6"/>
    <n v="6"/>
    <n v="6"/>
    <n v="6"/>
    <n v="6"/>
    <n v="6"/>
    <n v="5"/>
    <n v="5"/>
    <n v="4"/>
    <n v="5"/>
    <n v="4"/>
    <n v="4"/>
    <n v="4"/>
    <n v="4"/>
    <n v="4"/>
    <n v="4"/>
    <n v="3"/>
    <n v="4"/>
    <n v="3"/>
    <n v="3"/>
    <n v="2"/>
    <n v="2"/>
    <n v="3"/>
    <n v="2"/>
    <n v="2"/>
    <n v="2"/>
    <n v="3"/>
    <n v="3"/>
    <x v="3"/>
    <x v="22"/>
  </r>
  <r>
    <n v="19"/>
    <s v="35-44"/>
    <s v="Male"/>
    <s v="Bachelor's Degree"/>
    <x v="1"/>
    <s v="More than 5 years"/>
    <n v="5"/>
    <n v="4"/>
    <n v="5"/>
    <n v="4"/>
    <n v="6"/>
    <n v="5"/>
    <n v="6"/>
    <n v="6"/>
    <n v="6"/>
    <n v="6"/>
    <n v="6"/>
    <n v="6"/>
    <n v="5"/>
    <n v="5"/>
    <n v="4"/>
    <n v="5"/>
    <n v="4"/>
    <n v="4"/>
    <n v="4"/>
    <n v="4"/>
    <n v="4"/>
    <n v="4"/>
    <n v="3"/>
    <n v="4"/>
    <n v="3"/>
    <n v="3"/>
    <n v="2"/>
    <n v="2"/>
    <n v="3"/>
    <n v="2"/>
    <n v="2"/>
    <n v="2"/>
    <n v="3"/>
    <n v="3"/>
    <x v="4"/>
    <x v="23"/>
  </r>
  <r>
    <n v="19"/>
    <s v="35-44"/>
    <s v="Male"/>
    <s v="Bachelor's Degree"/>
    <x v="1"/>
    <s v="More than 5 years"/>
    <n v="5"/>
    <n v="4"/>
    <n v="5"/>
    <n v="4"/>
    <n v="6"/>
    <n v="5"/>
    <n v="6"/>
    <n v="6"/>
    <n v="6"/>
    <n v="6"/>
    <n v="6"/>
    <n v="6"/>
    <n v="5"/>
    <n v="5"/>
    <n v="4"/>
    <n v="5"/>
    <n v="4"/>
    <n v="4"/>
    <n v="4"/>
    <n v="4"/>
    <n v="4"/>
    <n v="4"/>
    <n v="3"/>
    <n v="4"/>
    <n v="3"/>
    <n v="3"/>
    <n v="2"/>
    <n v="2"/>
    <n v="3"/>
    <n v="2"/>
    <n v="2"/>
    <n v="2"/>
    <n v="3"/>
    <n v="3"/>
    <x v="5"/>
    <x v="5"/>
  </r>
  <r>
    <n v="19"/>
    <s v="35-44"/>
    <s v="Male"/>
    <s v="Bachelor's Degree"/>
    <x v="1"/>
    <s v="More than 5 years"/>
    <n v="5"/>
    <n v="4"/>
    <n v="5"/>
    <n v="4"/>
    <n v="6"/>
    <n v="5"/>
    <n v="6"/>
    <n v="6"/>
    <n v="6"/>
    <n v="6"/>
    <n v="6"/>
    <n v="6"/>
    <n v="5"/>
    <n v="5"/>
    <n v="4"/>
    <n v="5"/>
    <n v="4"/>
    <n v="4"/>
    <n v="4"/>
    <n v="4"/>
    <n v="4"/>
    <n v="4"/>
    <n v="3"/>
    <n v="4"/>
    <n v="3"/>
    <n v="3"/>
    <n v="2"/>
    <n v="2"/>
    <n v="3"/>
    <n v="2"/>
    <n v="2"/>
    <n v="2"/>
    <n v="3"/>
    <n v="3"/>
    <x v="6"/>
    <x v="6"/>
  </r>
  <r>
    <n v="19"/>
    <s v="35-44"/>
    <s v="Male"/>
    <s v="Bachelor's Degree"/>
    <x v="1"/>
    <s v="More than 5 years"/>
    <n v="5"/>
    <n v="4"/>
    <n v="5"/>
    <n v="4"/>
    <n v="6"/>
    <n v="5"/>
    <n v="6"/>
    <n v="6"/>
    <n v="6"/>
    <n v="6"/>
    <n v="6"/>
    <n v="6"/>
    <n v="5"/>
    <n v="5"/>
    <n v="4"/>
    <n v="5"/>
    <n v="4"/>
    <n v="4"/>
    <n v="4"/>
    <n v="4"/>
    <n v="4"/>
    <n v="4"/>
    <n v="3"/>
    <n v="4"/>
    <n v="3"/>
    <n v="3"/>
    <n v="2"/>
    <n v="2"/>
    <n v="3"/>
    <n v="2"/>
    <n v="2"/>
    <n v="2"/>
    <n v="3"/>
    <n v="3"/>
    <x v="7"/>
    <x v="91"/>
  </r>
  <r>
    <n v="19"/>
    <s v="35-44"/>
    <s v="Male"/>
    <s v="Bachelor's Degree"/>
    <x v="1"/>
    <s v="More than 5 years"/>
    <n v="5"/>
    <n v="4"/>
    <n v="5"/>
    <n v="4"/>
    <n v="6"/>
    <n v="5"/>
    <n v="6"/>
    <n v="6"/>
    <n v="6"/>
    <n v="6"/>
    <n v="6"/>
    <n v="6"/>
    <n v="5"/>
    <n v="5"/>
    <n v="4"/>
    <n v="5"/>
    <n v="4"/>
    <n v="4"/>
    <n v="4"/>
    <n v="4"/>
    <n v="4"/>
    <n v="4"/>
    <n v="3"/>
    <n v="4"/>
    <n v="3"/>
    <n v="3"/>
    <n v="2"/>
    <n v="2"/>
    <n v="3"/>
    <n v="2"/>
    <n v="2"/>
    <n v="2"/>
    <n v="3"/>
    <n v="3"/>
    <x v="8"/>
    <x v="41"/>
  </r>
  <r>
    <n v="19"/>
    <s v="35-44"/>
    <s v="Male"/>
    <s v="Bachelor's Degree"/>
    <x v="1"/>
    <s v="More than 5 years"/>
    <n v="5"/>
    <n v="4"/>
    <n v="5"/>
    <n v="4"/>
    <n v="6"/>
    <n v="5"/>
    <n v="6"/>
    <n v="6"/>
    <n v="6"/>
    <n v="6"/>
    <n v="6"/>
    <n v="6"/>
    <n v="5"/>
    <n v="5"/>
    <n v="4"/>
    <n v="5"/>
    <n v="4"/>
    <n v="4"/>
    <n v="4"/>
    <n v="4"/>
    <n v="4"/>
    <n v="4"/>
    <n v="3"/>
    <n v="4"/>
    <n v="3"/>
    <n v="3"/>
    <n v="2"/>
    <n v="2"/>
    <n v="3"/>
    <n v="2"/>
    <n v="2"/>
    <n v="2"/>
    <n v="3"/>
    <n v="3"/>
    <x v="9"/>
    <x v="60"/>
  </r>
  <r>
    <n v="19"/>
    <s v="35-44"/>
    <s v="Male"/>
    <s v="Bachelor's Degree"/>
    <x v="1"/>
    <s v="More than 5 years"/>
    <n v="5"/>
    <n v="4"/>
    <n v="5"/>
    <n v="4"/>
    <n v="6"/>
    <n v="5"/>
    <n v="6"/>
    <n v="6"/>
    <n v="6"/>
    <n v="6"/>
    <n v="6"/>
    <n v="6"/>
    <n v="5"/>
    <n v="5"/>
    <n v="4"/>
    <n v="5"/>
    <n v="4"/>
    <n v="4"/>
    <n v="4"/>
    <n v="4"/>
    <n v="4"/>
    <n v="4"/>
    <n v="3"/>
    <n v="4"/>
    <n v="3"/>
    <n v="3"/>
    <n v="2"/>
    <n v="2"/>
    <n v="3"/>
    <n v="2"/>
    <n v="2"/>
    <n v="2"/>
    <n v="3"/>
    <n v="3"/>
    <x v="10"/>
    <x v="92"/>
  </r>
  <r>
    <n v="19"/>
    <s v="35-44"/>
    <s v="Male"/>
    <s v="Bachelor's Degree"/>
    <x v="1"/>
    <s v="More than 5 years"/>
    <n v="5"/>
    <n v="4"/>
    <n v="5"/>
    <n v="4"/>
    <n v="6"/>
    <n v="5"/>
    <n v="6"/>
    <n v="6"/>
    <n v="6"/>
    <n v="6"/>
    <n v="6"/>
    <n v="6"/>
    <n v="5"/>
    <n v="5"/>
    <n v="4"/>
    <n v="5"/>
    <n v="4"/>
    <n v="4"/>
    <n v="4"/>
    <n v="4"/>
    <n v="4"/>
    <n v="4"/>
    <n v="3"/>
    <n v="4"/>
    <n v="3"/>
    <n v="3"/>
    <n v="2"/>
    <n v="2"/>
    <n v="3"/>
    <n v="2"/>
    <n v="2"/>
    <n v="2"/>
    <n v="3"/>
    <n v="3"/>
    <x v="11"/>
    <x v="57"/>
  </r>
  <r>
    <n v="19"/>
    <s v="35-44"/>
    <s v="Male"/>
    <s v="Bachelor's Degree"/>
    <x v="1"/>
    <s v="More than 5 years"/>
    <n v="5"/>
    <n v="4"/>
    <n v="5"/>
    <n v="4"/>
    <n v="6"/>
    <n v="5"/>
    <n v="6"/>
    <n v="6"/>
    <n v="6"/>
    <n v="6"/>
    <n v="6"/>
    <n v="6"/>
    <n v="5"/>
    <n v="5"/>
    <n v="4"/>
    <n v="5"/>
    <n v="4"/>
    <n v="4"/>
    <n v="4"/>
    <n v="4"/>
    <n v="4"/>
    <n v="4"/>
    <n v="3"/>
    <n v="4"/>
    <n v="3"/>
    <n v="3"/>
    <n v="2"/>
    <n v="2"/>
    <n v="3"/>
    <n v="2"/>
    <n v="2"/>
    <n v="2"/>
    <n v="3"/>
    <n v="3"/>
    <x v="12"/>
    <x v="2"/>
  </r>
  <r>
    <n v="19"/>
    <s v="35-44"/>
    <s v="Male"/>
    <s v="Bachelor's Degree"/>
    <x v="1"/>
    <s v="More than 5 years"/>
    <n v="5"/>
    <n v="4"/>
    <n v="5"/>
    <n v="4"/>
    <n v="6"/>
    <n v="5"/>
    <n v="6"/>
    <n v="6"/>
    <n v="6"/>
    <n v="6"/>
    <n v="6"/>
    <n v="6"/>
    <n v="5"/>
    <n v="5"/>
    <n v="4"/>
    <n v="5"/>
    <n v="4"/>
    <n v="4"/>
    <n v="4"/>
    <n v="4"/>
    <n v="4"/>
    <n v="4"/>
    <n v="3"/>
    <n v="4"/>
    <n v="3"/>
    <n v="3"/>
    <n v="2"/>
    <n v="2"/>
    <n v="3"/>
    <n v="2"/>
    <n v="2"/>
    <n v="2"/>
    <n v="3"/>
    <n v="3"/>
    <x v="13"/>
    <x v="72"/>
  </r>
  <r>
    <n v="20"/>
    <s v="55+"/>
    <s v="Male"/>
    <s v="Master's Degree"/>
    <x v="5"/>
    <s v="More than 5 years"/>
    <n v="3"/>
    <n v="4"/>
    <n v="4"/>
    <n v="5"/>
    <n v="7"/>
    <n v="7"/>
    <n v="7"/>
    <n v="7"/>
    <n v="7"/>
    <n v="3"/>
    <n v="2"/>
    <n v="2"/>
    <n v="5"/>
    <n v="5"/>
    <n v="5"/>
    <n v="2"/>
    <n v="3"/>
    <n v="5"/>
    <n v="1"/>
    <n v="4"/>
    <n v="4"/>
    <n v="1"/>
    <n v="5"/>
    <n v="5"/>
    <n v="5"/>
    <n v="5"/>
    <n v="1"/>
    <n v="1"/>
    <n v="5"/>
    <n v="5"/>
    <n v="1"/>
    <n v="1"/>
    <n v="5"/>
    <n v="5"/>
    <x v="0"/>
    <x v="0"/>
  </r>
  <r>
    <n v="20"/>
    <s v="55+"/>
    <s v="Male"/>
    <s v="Master's Degree"/>
    <x v="5"/>
    <s v="More than 5 years"/>
    <n v="3"/>
    <n v="4"/>
    <n v="4"/>
    <n v="5"/>
    <n v="7"/>
    <n v="7"/>
    <n v="7"/>
    <n v="7"/>
    <n v="7"/>
    <n v="3"/>
    <n v="2"/>
    <n v="2"/>
    <n v="5"/>
    <n v="5"/>
    <n v="5"/>
    <n v="2"/>
    <n v="3"/>
    <n v="5"/>
    <n v="1"/>
    <n v="4"/>
    <n v="4"/>
    <n v="1"/>
    <n v="5"/>
    <n v="5"/>
    <n v="5"/>
    <n v="5"/>
    <n v="1"/>
    <n v="1"/>
    <n v="5"/>
    <n v="5"/>
    <n v="1"/>
    <n v="1"/>
    <n v="5"/>
    <n v="5"/>
    <x v="1"/>
    <x v="14"/>
  </r>
  <r>
    <n v="20"/>
    <s v="55+"/>
    <s v="Male"/>
    <s v="Master's Degree"/>
    <x v="5"/>
    <s v="More than 5 years"/>
    <n v="3"/>
    <n v="4"/>
    <n v="4"/>
    <n v="5"/>
    <n v="7"/>
    <n v="7"/>
    <n v="7"/>
    <n v="7"/>
    <n v="7"/>
    <n v="3"/>
    <n v="2"/>
    <n v="2"/>
    <n v="5"/>
    <n v="5"/>
    <n v="5"/>
    <n v="2"/>
    <n v="3"/>
    <n v="5"/>
    <n v="1"/>
    <n v="4"/>
    <n v="4"/>
    <n v="1"/>
    <n v="5"/>
    <n v="5"/>
    <n v="5"/>
    <n v="5"/>
    <n v="1"/>
    <n v="1"/>
    <n v="5"/>
    <n v="5"/>
    <n v="1"/>
    <n v="1"/>
    <n v="5"/>
    <n v="5"/>
    <x v="2"/>
    <x v="2"/>
  </r>
  <r>
    <n v="20"/>
    <s v="55+"/>
    <s v="Male"/>
    <s v="Master's Degree"/>
    <x v="5"/>
    <s v="More than 5 years"/>
    <n v="3"/>
    <n v="4"/>
    <n v="4"/>
    <n v="5"/>
    <n v="7"/>
    <n v="7"/>
    <n v="7"/>
    <n v="7"/>
    <n v="7"/>
    <n v="3"/>
    <n v="2"/>
    <n v="2"/>
    <n v="5"/>
    <n v="5"/>
    <n v="5"/>
    <n v="2"/>
    <n v="3"/>
    <n v="5"/>
    <n v="1"/>
    <n v="4"/>
    <n v="4"/>
    <n v="1"/>
    <n v="5"/>
    <n v="5"/>
    <n v="5"/>
    <n v="5"/>
    <n v="1"/>
    <n v="1"/>
    <n v="5"/>
    <n v="5"/>
    <n v="1"/>
    <n v="1"/>
    <n v="5"/>
    <n v="5"/>
    <x v="3"/>
    <x v="22"/>
  </r>
  <r>
    <n v="20"/>
    <s v="55+"/>
    <s v="Male"/>
    <s v="Master's Degree"/>
    <x v="5"/>
    <s v="More than 5 years"/>
    <n v="3"/>
    <n v="4"/>
    <n v="4"/>
    <n v="5"/>
    <n v="7"/>
    <n v="7"/>
    <n v="7"/>
    <n v="7"/>
    <n v="7"/>
    <n v="3"/>
    <n v="2"/>
    <n v="2"/>
    <n v="5"/>
    <n v="5"/>
    <n v="5"/>
    <n v="2"/>
    <n v="3"/>
    <n v="5"/>
    <n v="1"/>
    <n v="4"/>
    <n v="4"/>
    <n v="1"/>
    <n v="5"/>
    <n v="5"/>
    <n v="5"/>
    <n v="5"/>
    <n v="1"/>
    <n v="1"/>
    <n v="5"/>
    <n v="5"/>
    <n v="1"/>
    <n v="1"/>
    <n v="5"/>
    <n v="5"/>
    <x v="4"/>
    <x v="23"/>
  </r>
  <r>
    <n v="20"/>
    <s v="55+"/>
    <s v="Male"/>
    <s v="Master's Degree"/>
    <x v="5"/>
    <s v="More than 5 years"/>
    <n v="3"/>
    <n v="4"/>
    <n v="4"/>
    <n v="5"/>
    <n v="7"/>
    <n v="7"/>
    <n v="7"/>
    <n v="7"/>
    <n v="7"/>
    <n v="3"/>
    <n v="2"/>
    <n v="2"/>
    <n v="5"/>
    <n v="5"/>
    <n v="5"/>
    <n v="2"/>
    <n v="3"/>
    <n v="5"/>
    <n v="1"/>
    <n v="4"/>
    <n v="4"/>
    <n v="1"/>
    <n v="5"/>
    <n v="5"/>
    <n v="5"/>
    <n v="5"/>
    <n v="1"/>
    <n v="1"/>
    <n v="5"/>
    <n v="5"/>
    <n v="1"/>
    <n v="1"/>
    <n v="5"/>
    <n v="5"/>
    <x v="5"/>
    <x v="24"/>
  </r>
  <r>
    <n v="20"/>
    <s v="55+"/>
    <s v="Male"/>
    <s v="Master's Degree"/>
    <x v="5"/>
    <s v="More than 5 years"/>
    <n v="3"/>
    <n v="4"/>
    <n v="4"/>
    <n v="5"/>
    <n v="7"/>
    <n v="7"/>
    <n v="7"/>
    <n v="7"/>
    <n v="7"/>
    <n v="3"/>
    <n v="2"/>
    <n v="2"/>
    <n v="5"/>
    <n v="5"/>
    <n v="5"/>
    <n v="2"/>
    <n v="3"/>
    <n v="5"/>
    <n v="1"/>
    <n v="4"/>
    <n v="4"/>
    <n v="1"/>
    <n v="5"/>
    <n v="5"/>
    <n v="5"/>
    <n v="5"/>
    <n v="1"/>
    <n v="1"/>
    <n v="5"/>
    <n v="5"/>
    <n v="1"/>
    <n v="1"/>
    <n v="5"/>
    <n v="5"/>
    <x v="6"/>
    <x v="6"/>
  </r>
  <r>
    <n v="20"/>
    <s v="55+"/>
    <s v="Male"/>
    <s v="Master's Degree"/>
    <x v="5"/>
    <s v="More than 5 years"/>
    <n v="3"/>
    <n v="4"/>
    <n v="4"/>
    <n v="5"/>
    <n v="7"/>
    <n v="7"/>
    <n v="7"/>
    <n v="7"/>
    <n v="7"/>
    <n v="3"/>
    <n v="2"/>
    <n v="2"/>
    <n v="5"/>
    <n v="5"/>
    <n v="5"/>
    <n v="2"/>
    <n v="3"/>
    <n v="5"/>
    <n v="1"/>
    <n v="4"/>
    <n v="4"/>
    <n v="1"/>
    <n v="5"/>
    <n v="5"/>
    <n v="5"/>
    <n v="5"/>
    <n v="1"/>
    <n v="1"/>
    <n v="5"/>
    <n v="5"/>
    <n v="1"/>
    <n v="1"/>
    <n v="5"/>
    <n v="5"/>
    <x v="7"/>
    <x v="91"/>
  </r>
  <r>
    <n v="20"/>
    <s v="55+"/>
    <s v="Male"/>
    <s v="Master's Degree"/>
    <x v="5"/>
    <s v="More than 5 years"/>
    <n v="3"/>
    <n v="4"/>
    <n v="4"/>
    <n v="5"/>
    <n v="7"/>
    <n v="7"/>
    <n v="7"/>
    <n v="7"/>
    <n v="7"/>
    <n v="3"/>
    <n v="2"/>
    <n v="2"/>
    <n v="5"/>
    <n v="5"/>
    <n v="5"/>
    <n v="2"/>
    <n v="3"/>
    <n v="5"/>
    <n v="1"/>
    <n v="4"/>
    <n v="4"/>
    <n v="1"/>
    <n v="5"/>
    <n v="5"/>
    <n v="5"/>
    <n v="5"/>
    <n v="1"/>
    <n v="1"/>
    <n v="5"/>
    <n v="5"/>
    <n v="1"/>
    <n v="1"/>
    <n v="5"/>
    <n v="5"/>
    <x v="8"/>
    <x v="8"/>
  </r>
  <r>
    <n v="20"/>
    <s v="55+"/>
    <s v="Male"/>
    <s v="Master's Degree"/>
    <x v="5"/>
    <s v="More than 5 years"/>
    <n v="3"/>
    <n v="4"/>
    <n v="4"/>
    <n v="5"/>
    <n v="7"/>
    <n v="7"/>
    <n v="7"/>
    <n v="7"/>
    <n v="7"/>
    <n v="3"/>
    <n v="2"/>
    <n v="2"/>
    <n v="5"/>
    <n v="5"/>
    <n v="5"/>
    <n v="2"/>
    <n v="3"/>
    <n v="5"/>
    <n v="1"/>
    <n v="4"/>
    <n v="4"/>
    <n v="1"/>
    <n v="5"/>
    <n v="5"/>
    <n v="5"/>
    <n v="5"/>
    <n v="1"/>
    <n v="1"/>
    <n v="5"/>
    <n v="5"/>
    <n v="1"/>
    <n v="1"/>
    <n v="5"/>
    <n v="5"/>
    <x v="9"/>
    <x v="60"/>
  </r>
  <r>
    <n v="20"/>
    <s v="55+"/>
    <s v="Male"/>
    <s v="Master's Degree"/>
    <x v="5"/>
    <s v="More than 5 years"/>
    <n v="3"/>
    <n v="4"/>
    <n v="4"/>
    <n v="5"/>
    <n v="7"/>
    <n v="7"/>
    <n v="7"/>
    <n v="7"/>
    <n v="7"/>
    <n v="3"/>
    <n v="2"/>
    <n v="2"/>
    <n v="5"/>
    <n v="5"/>
    <n v="5"/>
    <n v="2"/>
    <n v="3"/>
    <n v="5"/>
    <n v="1"/>
    <n v="4"/>
    <n v="4"/>
    <n v="1"/>
    <n v="5"/>
    <n v="5"/>
    <n v="5"/>
    <n v="5"/>
    <n v="1"/>
    <n v="1"/>
    <n v="5"/>
    <n v="5"/>
    <n v="1"/>
    <n v="1"/>
    <n v="5"/>
    <n v="5"/>
    <x v="10"/>
    <x v="93"/>
  </r>
  <r>
    <n v="20"/>
    <s v="55+"/>
    <s v="Male"/>
    <s v="Master's Degree"/>
    <x v="5"/>
    <s v="More than 5 years"/>
    <n v="3"/>
    <n v="4"/>
    <n v="4"/>
    <n v="5"/>
    <n v="7"/>
    <n v="7"/>
    <n v="7"/>
    <n v="7"/>
    <n v="7"/>
    <n v="3"/>
    <n v="2"/>
    <n v="2"/>
    <n v="5"/>
    <n v="5"/>
    <n v="5"/>
    <n v="2"/>
    <n v="3"/>
    <n v="5"/>
    <n v="1"/>
    <n v="4"/>
    <n v="4"/>
    <n v="1"/>
    <n v="5"/>
    <n v="5"/>
    <n v="5"/>
    <n v="5"/>
    <n v="1"/>
    <n v="1"/>
    <n v="5"/>
    <n v="5"/>
    <n v="1"/>
    <n v="1"/>
    <n v="5"/>
    <n v="5"/>
    <x v="11"/>
    <x v="94"/>
  </r>
  <r>
    <n v="20"/>
    <s v="55+"/>
    <s v="Male"/>
    <s v="Master's Degree"/>
    <x v="5"/>
    <s v="More than 5 years"/>
    <n v="3"/>
    <n v="4"/>
    <n v="4"/>
    <n v="5"/>
    <n v="7"/>
    <n v="7"/>
    <n v="7"/>
    <n v="7"/>
    <n v="7"/>
    <n v="3"/>
    <n v="2"/>
    <n v="2"/>
    <n v="5"/>
    <n v="5"/>
    <n v="5"/>
    <n v="2"/>
    <n v="3"/>
    <n v="5"/>
    <n v="1"/>
    <n v="4"/>
    <n v="4"/>
    <n v="1"/>
    <n v="5"/>
    <n v="5"/>
    <n v="5"/>
    <n v="5"/>
    <n v="1"/>
    <n v="1"/>
    <n v="5"/>
    <n v="5"/>
    <n v="1"/>
    <n v="1"/>
    <n v="5"/>
    <n v="5"/>
    <x v="12"/>
    <x v="87"/>
  </r>
  <r>
    <n v="20"/>
    <s v="55+"/>
    <s v="Male"/>
    <s v="Master's Degree"/>
    <x v="5"/>
    <s v="More than 5 years"/>
    <n v="3"/>
    <n v="4"/>
    <n v="4"/>
    <n v="5"/>
    <n v="7"/>
    <n v="7"/>
    <n v="7"/>
    <n v="7"/>
    <n v="7"/>
    <n v="3"/>
    <n v="2"/>
    <n v="2"/>
    <n v="5"/>
    <n v="5"/>
    <n v="5"/>
    <n v="2"/>
    <n v="3"/>
    <n v="5"/>
    <n v="1"/>
    <n v="4"/>
    <n v="4"/>
    <n v="1"/>
    <n v="5"/>
    <n v="5"/>
    <n v="5"/>
    <n v="5"/>
    <n v="1"/>
    <n v="1"/>
    <n v="5"/>
    <n v="5"/>
    <n v="1"/>
    <n v="1"/>
    <n v="5"/>
    <n v="5"/>
    <x v="13"/>
    <x v="95"/>
  </r>
  <r>
    <n v="21"/>
    <s v="55+"/>
    <s v="Male"/>
    <s v="Bachelor's Degree"/>
    <x v="2"/>
    <s v="More than 5 years"/>
    <n v="1"/>
    <n v="1"/>
    <n v="5"/>
    <n v="5"/>
    <n v="3"/>
    <n v="6"/>
    <n v="1"/>
    <n v="1"/>
    <n v="1"/>
    <n v="1"/>
    <n v="1"/>
    <n v="1"/>
    <n v="1"/>
    <n v="2"/>
    <n v="2"/>
    <n v="1"/>
    <n v="1"/>
    <n v="1"/>
    <n v="1"/>
    <n v="1"/>
    <n v="1"/>
    <n v="1"/>
    <n v="1"/>
    <n v="1"/>
    <n v="5"/>
    <n v="5"/>
    <n v="5"/>
    <n v="5"/>
    <n v="5"/>
    <n v="5"/>
    <n v="5"/>
    <n v="1"/>
    <n v="1"/>
    <n v="5"/>
    <x v="0"/>
    <x v="0"/>
  </r>
  <r>
    <n v="21"/>
    <s v="55+"/>
    <s v="Male"/>
    <s v="Bachelor's Degree"/>
    <x v="2"/>
    <s v="More than 5 years"/>
    <n v="1"/>
    <n v="1"/>
    <n v="5"/>
    <n v="5"/>
    <n v="3"/>
    <n v="6"/>
    <n v="1"/>
    <n v="1"/>
    <n v="1"/>
    <n v="1"/>
    <n v="1"/>
    <n v="1"/>
    <n v="1"/>
    <n v="2"/>
    <n v="2"/>
    <n v="1"/>
    <n v="1"/>
    <n v="1"/>
    <n v="1"/>
    <n v="1"/>
    <n v="1"/>
    <n v="1"/>
    <n v="1"/>
    <n v="1"/>
    <n v="5"/>
    <n v="5"/>
    <n v="5"/>
    <n v="5"/>
    <n v="5"/>
    <n v="5"/>
    <n v="5"/>
    <n v="1"/>
    <n v="1"/>
    <n v="5"/>
    <x v="1"/>
    <x v="14"/>
  </r>
  <r>
    <n v="21"/>
    <s v="55+"/>
    <s v="Male"/>
    <s v="Bachelor's Degree"/>
    <x v="2"/>
    <s v="More than 5 years"/>
    <n v="1"/>
    <n v="1"/>
    <n v="5"/>
    <n v="5"/>
    <n v="3"/>
    <n v="6"/>
    <n v="1"/>
    <n v="1"/>
    <n v="1"/>
    <n v="1"/>
    <n v="1"/>
    <n v="1"/>
    <n v="1"/>
    <n v="2"/>
    <n v="2"/>
    <n v="1"/>
    <n v="1"/>
    <n v="1"/>
    <n v="1"/>
    <n v="1"/>
    <n v="1"/>
    <n v="1"/>
    <n v="1"/>
    <n v="1"/>
    <n v="5"/>
    <n v="5"/>
    <n v="5"/>
    <n v="5"/>
    <n v="5"/>
    <n v="5"/>
    <n v="5"/>
    <n v="1"/>
    <n v="1"/>
    <n v="5"/>
    <x v="2"/>
    <x v="31"/>
  </r>
  <r>
    <n v="21"/>
    <s v="55+"/>
    <s v="Male"/>
    <s v="Bachelor's Degree"/>
    <x v="2"/>
    <s v="More than 5 years"/>
    <n v="1"/>
    <n v="1"/>
    <n v="5"/>
    <n v="5"/>
    <n v="3"/>
    <n v="6"/>
    <n v="1"/>
    <n v="1"/>
    <n v="1"/>
    <n v="1"/>
    <n v="1"/>
    <n v="1"/>
    <n v="1"/>
    <n v="2"/>
    <n v="2"/>
    <n v="1"/>
    <n v="1"/>
    <n v="1"/>
    <n v="1"/>
    <n v="1"/>
    <n v="1"/>
    <n v="1"/>
    <n v="1"/>
    <n v="1"/>
    <n v="5"/>
    <n v="5"/>
    <n v="5"/>
    <n v="5"/>
    <n v="5"/>
    <n v="5"/>
    <n v="5"/>
    <n v="1"/>
    <n v="1"/>
    <n v="5"/>
    <x v="3"/>
    <x v="22"/>
  </r>
  <r>
    <n v="21"/>
    <s v="55+"/>
    <s v="Male"/>
    <s v="Bachelor's Degree"/>
    <x v="2"/>
    <s v="More than 5 years"/>
    <n v="1"/>
    <n v="1"/>
    <n v="5"/>
    <n v="5"/>
    <n v="3"/>
    <n v="6"/>
    <n v="1"/>
    <n v="1"/>
    <n v="1"/>
    <n v="1"/>
    <n v="1"/>
    <n v="1"/>
    <n v="1"/>
    <n v="2"/>
    <n v="2"/>
    <n v="1"/>
    <n v="1"/>
    <n v="1"/>
    <n v="1"/>
    <n v="1"/>
    <n v="1"/>
    <n v="1"/>
    <n v="1"/>
    <n v="1"/>
    <n v="5"/>
    <n v="5"/>
    <n v="5"/>
    <n v="5"/>
    <n v="5"/>
    <n v="5"/>
    <n v="5"/>
    <n v="1"/>
    <n v="1"/>
    <n v="5"/>
    <x v="4"/>
    <x v="73"/>
  </r>
  <r>
    <n v="21"/>
    <s v="55+"/>
    <s v="Male"/>
    <s v="Bachelor's Degree"/>
    <x v="2"/>
    <s v="More than 5 years"/>
    <n v="1"/>
    <n v="1"/>
    <n v="5"/>
    <n v="5"/>
    <n v="3"/>
    <n v="6"/>
    <n v="1"/>
    <n v="1"/>
    <n v="1"/>
    <n v="1"/>
    <n v="1"/>
    <n v="1"/>
    <n v="1"/>
    <n v="2"/>
    <n v="2"/>
    <n v="1"/>
    <n v="1"/>
    <n v="1"/>
    <n v="1"/>
    <n v="1"/>
    <n v="1"/>
    <n v="1"/>
    <n v="1"/>
    <n v="1"/>
    <n v="5"/>
    <n v="5"/>
    <n v="5"/>
    <n v="5"/>
    <n v="5"/>
    <n v="5"/>
    <n v="5"/>
    <n v="1"/>
    <n v="1"/>
    <n v="5"/>
    <x v="5"/>
    <x v="5"/>
  </r>
  <r>
    <n v="21"/>
    <s v="55+"/>
    <s v="Male"/>
    <s v="Bachelor's Degree"/>
    <x v="2"/>
    <s v="More than 5 years"/>
    <n v="1"/>
    <n v="1"/>
    <n v="5"/>
    <n v="5"/>
    <n v="3"/>
    <n v="6"/>
    <n v="1"/>
    <n v="1"/>
    <n v="1"/>
    <n v="1"/>
    <n v="1"/>
    <n v="1"/>
    <n v="1"/>
    <n v="2"/>
    <n v="2"/>
    <n v="1"/>
    <n v="1"/>
    <n v="1"/>
    <n v="1"/>
    <n v="1"/>
    <n v="1"/>
    <n v="1"/>
    <n v="1"/>
    <n v="1"/>
    <n v="5"/>
    <n v="5"/>
    <n v="5"/>
    <n v="5"/>
    <n v="5"/>
    <n v="5"/>
    <n v="5"/>
    <n v="1"/>
    <n v="1"/>
    <n v="5"/>
    <x v="6"/>
    <x v="6"/>
  </r>
  <r>
    <n v="21"/>
    <s v="55+"/>
    <s v="Male"/>
    <s v="Bachelor's Degree"/>
    <x v="2"/>
    <s v="More than 5 years"/>
    <n v="1"/>
    <n v="1"/>
    <n v="5"/>
    <n v="5"/>
    <n v="3"/>
    <n v="6"/>
    <n v="1"/>
    <n v="1"/>
    <n v="1"/>
    <n v="1"/>
    <n v="1"/>
    <n v="1"/>
    <n v="1"/>
    <n v="2"/>
    <n v="2"/>
    <n v="1"/>
    <n v="1"/>
    <n v="1"/>
    <n v="1"/>
    <n v="1"/>
    <n v="1"/>
    <n v="1"/>
    <n v="1"/>
    <n v="1"/>
    <n v="5"/>
    <n v="5"/>
    <n v="5"/>
    <n v="5"/>
    <n v="5"/>
    <n v="5"/>
    <n v="5"/>
    <n v="1"/>
    <n v="1"/>
    <n v="5"/>
    <x v="7"/>
    <x v="96"/>
  </r>
  <r>
    <n v="21"/>
    <s v="55+"/>
    <s v="Male"/>
    <s v="Bachelor's Degree"/>
    <x v="2"/>
    <s v="More than 5 years"/>
    <n v="1"/>
    <n v="1"/>
    <n v="5"/>
    <n v="5"/>
    <n v="3"/>
    <n v="6"/>
    <n v="1"/>
    <n v="1"/>
    <n v="1"/>
    <n v="1"/>
    <n v="1"/>
    <n v="1"/>
    <n v="1"/>
    <n v="2"/>
    <n v="2"/>
    <n v="1"/>
    <n v="1"/>
    <n v="1"/>
    <n v="1"/>
    <n v="1"/>
    <n v="1"/>
    <n v="1"/>
    <n v="1"/>
    <n v="1"/>
    <n v="5"/>
    <n v="5"/>
    <n v="5"/>
    <n v="5"/>
    <n v="5"/>
    <n v="5"/>
    <n v="5"/>
    <n v="1"/>
    <n v="1"/>
    <n v="5"/>
    <x v="8"/>
    <x v="65"/>
  </r>
  <r>
    <n v="21"/>
    <s v="55+"/>
    <s v="Male"/>
    <s v="Bachelor's Degree"/>
    <x v="2"/>
    <s v="More than 5 years"/>
    <n v="1"/>
    <n v="1"/>
    <n v="5"/>
    <n v="5"/>
    <n v="3"/>
    <n v="6"/>
    <n v="1"/>
    <n v="1"/>
    <n v="1"/>
    <n v="1"/>
    <n v="1"/>
    <n v="1"/>
    <n v="1"/>
    <n v="2"/>
    <n v="2"/>
    <n v="1"/>
    <n v="1"/>
    <n v="1"/>
    <n v="1"/>
    <n v="1"/>
    <n v="1"/>
    <n v="1"/>
    <n v="1"/>
    <n v="1"/>
    <n v="5"/>
    <n v="5"/>
    <n v="5"/>
    <n v="5"/>
    <n v="5"/>
    <n v="5"/>
    <n v="5"/>
    <n v="1"/>
    <n v="1"/>
    <n v="5"/>
    <x v="9"/>
    <x v="18"/>
  </r>
  <r>
    <n v="21"/>
    <s v="55+"/>
    <s v="Male"/>
    <s v="Bachelor's Degree"/>
    <x v="2"/>
    <s v="More than 5 years"/>
    <n v="1"/>
    <n v="1"/>
    <n v="5"/>
    <n v="5"/>
    <n v="3"/>
    <n v="6"/>
    <n v="1"/>
    <n v="1"/>
    <n v="1"/>
    <n v="1"/>
    <n v="1"/>
    <n v="1"/>
    <n v="1"/>
    <n v="2"/>
    <n v="2"/>
    <n v="1"/>
    <n v="1"/>
    <n v="1"/>
    <n v="1"/>
    <n v="1"/>
    <n v="1"/>
    <n v="1"/>
    <n v="1"/>
    <n v="1"/>
    <n v="5"/>
    <n v="5"/>
    <n v="5"/>
    <n v="5"/>
    <n v="5"/>
    <n v="5"/>
    <n v="5"/>
    <n v="1"/>
    <n v="1"/>
    <n v="5"/>
    <x v="10"/>
    <x v="97"/>
  </r>
  <r>
    <n v="21"/>
    <s v="55+"/>
    <s v="Male"/>
    <s v="Bachelor's Degree"/>
    <x v="2"/>
    <s v="More than 5 years"/>
    <n v="1"/>
    <n v="1"/>
    <n v="5"/>
    <n v="5"/>
    <n v="3"/>
    <n v="6"/>
    <n v="1"/>
    <n v="1"/>
    <n v="1"/>
    <n v="1"/>
    <n v="1"/>
    <n v="1"/>
    <n v="1"/>
    <n v="2"/>
    <n v="2"/>
    <n v="1"/>
    <n v="1"/>
    <n v="1"/>
    <n v="1"/>
    <n v="1"/>
    <n v="1"/>
    <n v="1"/>
    <n v="1"/>
    <n v="1"/>
    <n v="5"/>
    <n v="5"/>
    <n v="5"/>
    <n v="5"/>
    <n v="5"/>
    <n v="5"/>
    <n v="5"/>
    <n v="1"/>
    <n v="1"/>
    <n v="5"/>
    <x v="11"/>
    <x v="94"/>
  </r>
  <r>
    <n v="21"/>
    <s v="55+"/>
    <s v="Male"/>
    <s v="Bachelor's Degree"/>
    <x v="2"/>
    <s v="More than 5 years"/>
    <n v="1"/>
    <n v="1"/>
    <n v="5"/>
    <n v="5"/>
    <n v="3"/>
    <n v="6"/>
    <n v="1"/>
    <n v="1"/>
    <n v="1"/>
    <n v="1"/>
    <n v="1"/>
    <n v="1"/>
    <n v="1"/>
    <n v="2"/>
    <n v="2"/>
    <n v="1"/>
    <n v="1"/>
    <n v="1"/>
    <n v="1"/>
    <n v="1"/>
    <n v="1"/>
    <n v="1"/>
    <n v="1"/>
    <n v="1"/>
    <n v="5"/>
    <n v="5"/>
    <n v="5"/>
    <n v="5"/>
    <n v="5"/>
    <n v="5"/>
    <n v="5"/>
    <n v="1"/>
    <n v="1"/>
    <n v="5"/>
    <x v="12"/>
    <x v="87"/>
  </r>
  <r>
    <n v="21"/>
    <s v="55+"/>
    <s v="Male"/>
    <s v="Bachelor's Degree"/>
    <x v="2"/>
    <s v="More than 5 years"/>
    <n v="1"/>
    <n v="1"/>
    <n v="5"/>
    <n v="5"/>
    <n v="3"/>
    <n v="6"/>
    <n v="1"/>
    <n v="1"/>
    <n v="1"/>
    <n v="1"/>
    <n v="1"/>
    <n v="1"/>
    <n v="1"/>
    <n v="2"/>
    <n v="2"/>
    <n v="1"/>
    <n v="1"/>
    <n v="1"/>
    <n v="1"/>
    <n v="1"/>
    <n v="1"/>
    <n v="1"/>
    <n v="1"/>
    <n v="1"/>
    <n v="5"/>
    <n v="5"/>
    <n v="5"/>
    <n v="5"/>
    <n v="5"/>
    <n v="5"/>
    <n v="5"/>
    <n v="1"/>
    <n v="1"/>
    <n v="5"/>
    <x v="13"/>
    <x v="95"/>
  </r>
  <r>
    <n v="22"/>
    <s v="35 - 44"/>
    <s v="Male"/>
    <s v="Bachelor's Degree"/>
    <x v="2"/>
    <s v="1-3 years"/>
    <n v="3"/>
    <n v="3"/>
    <n v="3"/>
    <n v="4"/>
    <n v="7"/>
    <n v="7"/>
    <n v="6"/>
    <n v="7"/>
    <n v="6"/>
    <n v="7"/>
    <n v="7"/>
    <n v="7"/>
    <n v="4"/>
    <n v="3"/>
    <n v="5"/>
    <n v="3"/>
    <n v="2"/>
    <n v="5"/>
    <n v="4"/>
    <n v="5"/>
    <n v="1"/>
    <n v="3"/>
    <n v="4"/>
    <n v="5"/>
    <n v="3"/>
    <n v="5"/>
    <n v="1"/>
    <n v="3"/>
    <n v="4"/>
    <n v="2"/>
    <n v="5"/>
    <n v="5"/>
    <n v="5"/>
    <n v="2"/>
    <x v="0"/>
    <x v="58"/>
  </r>
  <r>
    <n v="22"/>
    <s v="35 - 44"/>
    <s v="Male"/>
    <s v="Bachelor's Degree"/>
    <x v="2"/>
    <s v="1-3 years"/>
    <n v="3"/>
    <n v="3"/>
    <n v="3"/>
    <n v="4"/>
    <n v="7"/>
    <n v="7"/>
    <n v="6"/>
    <n v="7"/>
    <n v="6"/>
    <n v="7"/>
    <n v="7"/>
    <n v="7"/>
    <n v="4"/>
    <n v="3"/>
    <n v="5"/>
    <n v="3"/>
    <n v="2"/>
    <n v="5"/>
    <n v="4"/>
    <n v="5"/>
    <n v="1"/>
    <n v="3"/>
    <n v="4"/>
    <n v="5"/>
    <n v="3"/>
    <n v="5"/>
    <n v="1"/>
    <n v="3"/>
    <n v="4"/>
    <n v="2"/>
    <n v="5"/>
    <n v="5"/>
    <n v="5"/>
    <n v="2"/>
    <x v="1"/>
    <x v="1"/>
  </r>
  <r>
    <n v="22"/>
    <s v="35 - 44"/>
    <s v="Male"/>
    <s v="Bachelor's Degree"/>
    <x v="2"/>
    <s v="1-3 years"/>
    <n v="3"/>
    <n v="3"/>
    <n v="3"/>
    <n v="4"/>
    <n v="7"/>
    <n v="7"/>
    <n v="6"/>
    <n v="7"/>
    <n v="6"/>
    <n v="7"/>
    <n v="7"/>
    <n v="7"/>
    <n v="4"/>
    <n v="3"/>
    <n v="5"/>
    <n v="3"/>
    <n v="2"/>
    <n v="5"/>
    <n v="4"/>
    <n v="5"/>
    <n v="1"/>
    <n v="3"/>
    <n v="4"/>
    <n v="5"/>
    <n v="3"/>
    <n v="5"/>
    <n v="1"/>
    <n v="3"/>
    <n v="4"/>
    <n v="2"/>
    <n v="5"/>
    <n v="5"/>
    <n v="5"/>
    <n v="2"/>
    <x v="2"/>
    <x v="15"/>
  </r>
  <r>
    <n v="22"/>
    <s v="35 - 44"/>
    <s v="Male"/>
    <s v="Bachelor's Degree"/>
    <x v="2"/>
    <s v="1-3 years"/>
    <n v="3"/>
    <n v="3"/>
    <n v="3"/>
    <n v="4"/>
    <n v="7"/>
    <n v="7"/>
    <n v="6"/>
    <n v="7"/>
    <n v="6"/>
    <n v="7"/>
    <n v="7"/>
    <n v="7"/>
    <n v="4"/>
    <n v="3"/>
    <n v="5"/>
    <n v="3"/>
    <n v="2"/>
    <n v="5"/>
    <n v="4"/>
    <n v="5"/>
    <n v="1"/>
    <n v="3"/>
    <n v="4"/>
    <n v="5"/>
    <n v="3"/>
    <n v="5"/>
    <n v="1"/>
    <n v="3"/>
    <n v="4"/>
    <n v="2"/>
    <n v="5"/>
    <n v="5"/>
    <n v="5"/>
    <n v="2"/>
    <x v="3"/>
    <x v="32"/>
  </r>
  <r>
    <n v="22"/>
    <s v="35 - 44"/>
    <s v="Male"/>
    <s v="Bachelor's Degree"/>
    <x v="2"/>
    <s v="1-3 years"/>
    <n v="3"/>
    <n v="3"/>
    <n v="3"/>
    <n v="4"/>
    <n v="7"/>
    <n v="7"/>
    <n v="6"/>
    <n v="7"/>
    <n v="6"/>
    <n v="7"/>
    <n v="7"/>
    <n v="7"/>
    <n v="4"/>
    <n v="3"/>
    <n v="5"/>
    <n v="3"/>
    <n v="2"/>
    <n v="5"/>
    <n v="4"/>
    <n v="5"/>
    <n v="1"/>
    <n v="3"/>
    <n v="4"/>
    <n v="5"/>
    <n v="3"/>
    <n v="5"/>
    <n v="1"/>
    <n v="3"/>
    <n v="4"/>
    <n v="2"/>
    <n v="5"/>
    <n v="5"/>
    <n v="5"/>
    <n v="2"/>
    <x v="4"/>
    <x v="4"/>
  </r>
  <r>
    <n v="22"/>
    <s v="35 - 44"/>
    <s v="Male"/>
    <s v="Bachelor's Degree"/>
    <x v="2"/>
    <s v="1-3 years"/>
    <n v="3"/>
    <n v="3"/>
    <n v="3"/>
    <n v="4"/>
    <n v="7"/>
    <n v="7"/>
    <n v="6"/>
    <n v="7"/>
    <n v="6"/>
    <n v="7"/>
    <n v="7"/>
    <n v="7"/>
    <n v="4"/>
    <n v="3"/>
    <n v="5"/>
    <n v="3"/>
    <n v="2"/>
    <n v="5"/>
    <n v="4"/>
    <n v="5"/>
    <n v="1"/>
    <n v="3"/>
    <n v="4"/>
    <n v="5"/>
    <n v="3"/>
    <n v="5"/>
    <n v="1"/>
    <n v="3"/>
    <n v="4"/>
    <n v="2"/>
    <n v="5"/>
    <n v="5"/>
    <n v="5"/>
    <n v="2"/>
    <x v="5"/>
    <x v="5"/>
  </r>
  <r>
    <n v="22"/>
    <s v="35 - 44"/>
    <s v="Male"/>
    <s v="Bachelor's Degree"/>
    <x v="2"/>
    <s v="1-3 years"/>
    <n v="3"/>
    <n v="3"/>
    <n v="3"/>
    <n v="4"/>
    <n v="7"/>
    <n v="7"/>
    <n v="6"/>
    <n v="7"/>
    <n v="6"/>
    <n v="7"/>
    <n v="7"/>
    <n v="7"/>
    <n v="4"/>
    <n v="3"/>
    <n v="5"/>
    <n v="3"/>
    <n v="2"/>
    <n v="5"/>
    <n v="4"/>
    <n v="5"/>
    <n v="1"/>
    <n v="3"/>
    <n v="4"/>
    <n v="5"/>
    <n v="3"/>
    <n v="5"/>
    <n v="1"/>
    <n v="3"/>
    <n v="4"/>
    <n v="2"/>
    <n v="5"/>
    <n v="5"/>
    <n v="5"/>
    <n v="2"/>
    <x v="6"/>
    <x v="25"/>
  </r>
  <r>
    <n v="22"/>
    <s v="35 - 44"/>
    <s v="Male"/>
    <s v="Bachelor's Degree"/>
    <x v="2"/>
    <s v="1-3 years"/>
    <n v="3"/>
    <n v="3"/>
    <n v="3"/>
    <n v="4"/>
    <n v="7"/>
    <n v="7"/>
    <n v="6"/>
    <n v="7"/>
    <n v="6"/>
    <n v="7"/>
    <n v="7"/>
    <n v="7"/>
    <n v="4"/>
    <n v="3"/>
    <n v="5"/>
    <n v="3"/>
    <n v="2"/>
    <n v="5"/>
    <n v="4"/>
    <n v="5"/>
    <n v="1"/>
    <n v="3"/>
    <n v="4"/>
    <n v="5"/>
    <n v="3"/>
    <n v="5"/>
    <n v="1"/>
    <n v="3"/>
    <n v="4"/>
    <n v="2"/>
    <n v="5"/>
    <n v="5"/>
    <n v="5"/>
    <n v="2"/>
    <x v="7"/>
    <x v="98"/>
  </r>
  <r>
    <n v="22"/>
    <s v="35 - 44"/>
    <s v="Male"/>
    <s v="Bachelor's Degree"/>
    <x v="2"/>
    <s v="1-3 years"/>
    <n v="3"/>
    <n v="3"/>
    <n v="3"/>
    <n v="4"/>
    <n v="7"/>
    <n v="7"/>
    <n v="6"/>
    <n v="7"/>
    <n v="6"/>
    <n v="7"/>
    <n v="7"/>
    <n v="7"/>
    <n v="4"/>
    <n v="3"/>
    <n v="5"/>
    <n v="3"/>
    <n v="2"/>
    <n v="5"/>
    <n v="4"/>
    <n v="5"/>
    <n v="1"/>
    <n v="3"/>
    <n v="4"/>
    <n v="5"/>
    <n v="3"/>
    <n v="5"/>
    <n v="1"/>
    <n v="3"/>
    <n v="4"/>
    <n v="2"/>
    <n v="5"/>
    <n v="5"/>
    <n v="5"/>
    <n v="2"/>
    <x v="8"/>
    <x v="52"/>
  </r>
  <r>
    <n v="22"/>
    <s v="35 - 44"/>
    <s v="Male"/>
    <s v="Bachelor's Degree"/>
    <x v="2"/>
    <s v="1-3 years"/>
    <n v="3"/>
    <n v="3"/>
    <n v="3"/>
    <n v="4"/>
    <n v="7"/>
    <n v="7"/>
    <n v="6"/>
    <n v="7"/>
    <n v="6"/>
    <n v="7"/>
    <n v="7"/>
    <n v="7"/>
    <n v="4"/>
    <n v="3"/>
    <n v="5"/>
    <n v="3"/>
    <n v="2"/>
    <n v="5"/>
    <n v="4"/>
    <n v="5"/>
    <n v="1"/>
    <n v="3"/>
    <n v="4"/>
    <n v="5"/>
    <n v="3"/>
    <n v="5"/>
    <n v="1"/>
    <n v="3"/>
    <n v="4"/>
    <n v="2"/>
    <n v="5"/>
    <n v="5"/>
    <n v="5"/>
    <n v="2"/>
    <x v="9"/>
    <x v="99"/>
  </r>
  <r>
    <n v="22"/>
    <s v="35 - 44"/>
    <s v="Male"/>
    <s v="Bachelor's Degree"/>
    <x v="2"/>
    <s v="1-3 years"/>
    <n v="3"/>
    <n v="3"/>
    <n v="3"/>
    <n v="4"/>
    <n v="7"/>
    <n v="7"/>
    <n v="6"/>
    <n v="7"/>
    <n v="6"/>
    <n v="7"/>
    <n v="7"/>
    <n v="7"/>
    <n v="4"/>
    <n v="3"/>
    <n v="5"/>
    <n v="3"/>
    <n v="2"/>
    <n v="5"/>
    <n v="4"/>
    <n v="5"/>
    <n v="1"/>
    <n v="3"/>
    <n v="4"/>
    <n v="5"/>
    <n v="3"/>
    <n v="5"/>
    <n v="1"/>
    <n v="3"/>
    <n v="4"/>
    <n v="2"/>
    <n v="5"/>
    <n v="5"/>
    <n v="5"/>
    <n v="2"/>
    <x v="10"/>
    <x v="100"/>
  </r>
  <r>
    <n v="22"/>
    <s v="35 - 44"/>
    <s v="Male"/>
    <s v="Bachelor's Degree"/>
    <x v="2"/>
    <s v="1-3 years"/>
    <n v="3"/>
    <n v="3"/>
    <n v="3"/>
    <n v="4"/>
    <n v="7"/>
    <n v="7"/>
    <n v="6"/>
    <n v="7"/>
    <n v="6"/>
    <n v="7"/>
    <n v="7"/>
    <n v="7"/>
    <n v="4"/>
    <n v="3"/>
    <n v="5"/>
    <n v="3"/>
    <n v="2"/>
    <n v="5"/>
    <n v="4"/>
    <n v="5"/>
    <n v="1"/>
    <n v="3"/>
    <n v="4"/>
    <n v="5"/>
    <n v="3"/>
    <n v="5"/>
    <n v="1"/>
    <n v="3"/>
    <n v="4"/>
    <n v="2"/>
    <n v="5"/>
    <n v="5"/>
    <n v="5"/>
    <n v="2"/>
    <x v="11"/>
    <x v="101"/>
  </r>
  <r>
    <n v="22"/>
    <s v="35 - 44"/>
    <s v="Male"/>
    <s v="Bachelor's Degree"/>
    <x v="2"/>
    <s v="1-3 years"/>
    <n v="3"/>
    <n v="3"/>
    <n v="3"/>
    <n v="4"/>
    <n v="7"/>
    <n v="7"/>
    <n v="6"/>
    <n v="7"/>
    <n v="6"/>
    <n v="7"/>
    <n v="7"/>
    <n v="7"/>
    <n v="4"/>
    <n v="3"/>
    <n v="5"/>
    <n v="3"/>
    <n v="2"/>
    <n v="5"/>
    <n v="4"/>
    <n v="5"/>
    <n v="1"/>
    <n v="3"/>
    <n v="4"/>
    <n v="5"/>
    <n v="3"/>
    <n v="5"/>
    <n v="1"/>
    <n v="3"/>
    <n v="4"/>
    <n v="2"/>
    <n v="5"/>
    <n v="5"/>
    <n v="5"/>
    <n v="2"/>
    <x v="12"/>
    <x v="2"/>
  </r>
  <r>
    <n v="22"/>
    <s v="35 - 44"/>
    <s v="Male"/>
    <s v="Bachelor's Degree"/>
    <x v="2"/>
    <s v="1-3 years"/>
    <n v="3"/>
    <n v="3"/>
    <n v="3"/>
    <n v="4"/>
    <n v="7"/>
    <n v="7"/>
    <n v="6"/>
    <n v="7"/>
    <n v="6"/>
    <n v="7"/>
    <n v="7"/>
    <n v="7"/>
    <n v="4"/>
    <n v="3"/>
    <n v="5"/>
    <n v="3"/>
    <n v="2"/>
    <n v="5"/>
    <n v="4"/>
    <n v="5"/>
    <n v="1"/>
    <n v="3"/>
    <n v="4"/>
    <n v="5"/>
    <n v="3"/>
    <n v="5"/>
    <n v="1"/>
    <n v="3"/>
    <n v="4"/>
    <n v="2"/>
    <n v="5"/>
    <n v="5"/>
    <n v="5"/>
    <n v="2"/>
    <x v="13"/>
    <x v="102"/>
  </r>
  <r>
    <n v="23"/>
    <s v="25 - 34"/>
    <s v="Male"/>
    <s v="Bachelor's Degree"/>
    <x v="2"/>
    <s v="Less than 1 year"/>
    <n v="5"/>
    <n v="5"/>
    <n v="5"/>
    <n v="5"/>
    <n v="6"/>
    <n v="4"/>
    <n v="5"/>
    <n v="5"/>
    <n v="7"/>
    <n v="7"/>
    <n v="7"/>
    <n v="6"/>
    <n v="5"/>
    <n v="5"/>
    <n v="5"/>
    <n v="5"/>
    <n v="5"/>
    <n v="5"/>
    <n v="5"/>
    <n v="5"/>
    <n v="5"/>
    <n v="5"/>
    <n v="5"/>
    <n v="5"/>
    <n v="3"/>
    <n v="3"/>
    <n v="2"/>
    <n v="3"/>
    <n v="2"/>
    <n v="1"/>
    <n v="1"/>
    <n v="1"/>
    <n v="1"/>
    <n v="2"/>
    <x v="0"/>
    <x v="0"/>
  </r>
  <r>
    <n v="23"/>
    <s v="25 - 34"/>
    <s v="Male"/>
    <s v="Bachelor's Degree"/>
    <x v="2"/>
    <s v="Less than 1 year"/>
    <n v="5"/>
    <n v="5"/>
    <n v="5"/>
    <n v="5"/>
    <n v="6"/>
    <n v="4"/>
    <n v="5"/>
    <n v="5"/>
    <n v="7"/>
    <n v="7"/>
    <n v="7"/>
    <n v="6"/>
    <n v="5"/>
    <n v="5"/>
    <n v="5"/>
    <n v="5"/>
    <n v="5"/>
    <n v="5"/>
    <n v="5"/>
    <n v="5"/>
    <n v="5"/>
    <n v="5"/>
    <n v="5"/>
    <n v="5"/>
    <n v="3"/>
    <n v="3"/>
    <n v="2"/>
    <n v="3"/>
    <n v="2"/>
    <n v="1"/>
    <n v="1"/>
    <n v="1"/>
    <n v="1"/>
    <n v="2"/>
    <x v="1"/>
    <x v="1"/>
  </r>
  <r>
    <n v="23"/>
    <s v="25 - 34"/>
    <s v="Male"/>
    <s v="Bachelor's Degree"/>
    <x v="2"/>
    <s v="Less than 1 year"/>
    <n v="5"/>
    <n v="5"/>
    <n v="5"/>
    <n v="5"/>
    <n v="6"/>
    <n v="4"/>
    <n v="5"/>
    <n v="5"/>
    <n v="7"/>
    <n v="7"/>
    <n v="7"/>
    <n v="6"/>
    <n v="5"/>
    <n v="5"/>
    <n v="5"/>
    <n v="5"/>
    <n v="5"/>
    <n v="5"/>
    <n v="5"/>
    <n v="5"/>
    <n v="5"/>
    <n v="5"/>
    <n v="5"/>
    <n v="5"/>
    <n v="3"/>
    <n v="3"/>
    <n v="2"/>
    <n v="3"/>
    <n v="2"/>
    <n v="1"/>
    <n v="1"/>
    <n v="1"/>
    <n v="1"/>
    <n v="2"/>
    <x v="2"/>
    <x v="2"/>
  </r>
  <r>
    <n v="23"/>
    <s v="25 - 34"/>
    <s v="Male"/>
    <s v="Bachelor's Degree"/>
    <x v="2"/>
    <s v="Less than 1 year"/>
    <n v="5"/>
    <n v="5"/>
    <n v="5"/>
    <n v="5"/>
    <n v="6"/>
    <n v="4"/>
    <n v="5"/>
    <n v="5"/>
    <n v="7"/>
    <n v="7"/>
    <n v="7"/>
    <n v="6"/>
    <n v="5"/>
    <n v="5"/>
    <n v="5"/>
    <n v="5"/>
    <n v="5"/>
    <n v="5"/>
    <n v="5"/>
    <n v="5"/>
    <n v="5"/>
    <n v="5"/>
    <n v="5"/>
    <n v="5"/>
    <n v="3"/>
    <n v="3"/>
    <n v="2"/>
    <n v="3"/>
    <n v="2"/>
    <n v="1"/>
    <n v="1"/>
    <n v="1"/>
    <n v="1"/>
    <n v="2"/>
    <x v="3"/>
    <x v="3"/>
  </r>
  <r>
    <n v="23"/>
    <s v="25 - 34"/>
    <s v="Male"/>
    <s v="Bachelor's Degree"/>
    <x v="2"/>
    <s v="Less than 1 year"/>
    <n v="5"/>
    <n v="5"/>
    <n v="5"/>
    <n v="5"/>
    <n v="6"/>
    <n v="4"/>
    <n v="5"/>
    <n v="5"/>
    <n v="7"/>
    <n v="7"/>
    <n v="7"/>
    <n v="6"/>
    <n v="5"/>
    <n v="5"/>
    <n v="5"/>
    <n v="5"/>
    <n v="5"/>
    <n v="5"/>
    <n v="5"/>
    <n v="5"/>
    <n v="5"/>
    <n v="5"/>
    <n v="5"/>
    <n v="5"/>
    <n v="3"/>
    <n v="3"/>
    <n v="2"/>
    <n v="3"/>
    <n v="2"/>
    <n v="1"/>
    <n v="1"/>
    <n v="1"/>
    <n v="1"/>
    <n v="2"/>
    <x v="4"/>
    <x v="23"/>
  </r>
  <r>
    <n v="23"/>
    <s v="25 - 34"/>
    <s v="Male"/>
    <s v="Bachelor's Degree"/>
    <x v="2"/>
    <s v="Less than 1 year"/>
    <n v="5"/>
    <n v="5"/>
    <n v="5"/>
    <n v="5"/>
    <n v="6"/>
    <n v="4"/>
    <n v="5"/>
    <n v="5"/>
    <n v="7"/>
    <n v="7"/>
    <n v="7"/>
    <n v="6"/>
    <n v="5"/>
    <n v="5"/>
    <n v="5"/>
    <n v="5"/>
    <n v="5"/>
    <n v="5"/>
    <n v="5"/>
    <n v="5"/>
    <n v="5"/>
    <n v="5"/>
    <n v="5"/>
    <n v="5"/>
    <n v="3"/>
    <n v="3"/>
    <n v="2"/>
    <n v="3"/>
    <n v="2"/>
    <n v="1"/>
    <n v="1"/>
    <n v="1"/>
    <n v="1"/>
    <n v="2"/>
    <x v="5"/>
    <x v="103"/>
  </r>
  <r>
    <n v="23"/>
    <s v="25 - 34"/>
    <s v="Male"/>
    <s v="Bachelor's Degree"/>
    <x v="2"/>
    <s v="Less than 1 year"/>
    <n v="5"/>
    <n v="5"/>
    <n v="5"/>
    <n v="5"/>
    <n v="6"/>
    <n v="4"/>
    <n v="5"/>
    <n v="5"/>
    <n v="7"/>
    <n v="7"/>
    <n v="7"/>
    <n v="6"/>
    <n v="5"/>
    <n v="5"/>
    <n v="5"/>
    <n v="5"/>
    <n v="5"/>
    <n v="5"/>
    <n v="5"/>
    <n v="5"/>
    <n v="5"/>
    <n v="5"/>
    <n v="5"/>
    <n v="5"/>
    <n v="3"/>
    <n v="3"/>
    <n v="2"/>
    <n v="3"/>
    <n v="2"/>
    <n v="1"/>
    <n v="1"/>
    <n v="1"/>
    <n v="1"/>
    <n v="2"/>
    <x v="6"/>
    <x v="3"/>
  </r>
  <r>
    <n v="23"/>
    <s v="25 - 34"/>
    <s v="Male"/>
    <s v="Bachelor's Degree"/>
    <x v="2"/>
    <s v="Less than 1 year"/>
    <n v="5"/>
    <n v="5"/>
    <n v="5"/>
    <n v="5"/>
    <n v="6"/>
    <n v="4"/>
    <n v="5"/>
    <n v="5"/>
    <n v="7"/>
    <n v="7"/>
    <n v="7"/>
    <n v="6"/>
    <n v="5"/>
    <n v="5"/>
    <n v="5"/>
    <n v="5"/>
    <n v="5"/>
    <n v="5"/>
    <n v="5"/>
    <n v="5"/>
    <n v="5"/>
    <n v="5"/>
    <n v="5"/>
    <n v="5"/>
    <n v="3"/>
    <n v="3"/>
    <n v="2"/>
    <n v="3"/>
    <n v="2"/>
    <n v="1"/>
    <n v="1"/>
    <n v="1"/>
    <n v="1"/>
    <n v="2"/>
    <x v="7"/>
    <x v="104"/>
  </r>
  <r>
    <n v="23"/>
    <s v="25 - 34"/>
    <s v="Male"/>
    <s v="Bachelor's Degree"/>
    <x v="2"/>
    <s v="Less than 1 year"/>
    <n v="5"/>
    <n v="5"/>
    <n v="5"/>
    <n v="5"/>
    <n v="6"/>
    <n v="4"/>
    <n v="5"/>
    <n v="5"/>
    <n v="7"/>
    <n v="7"/>
    <n v="7"/>
    <n v="6"/>
    <n v="5"/>
    <n v="5"/>
    <n v="5"/>
    <n v="5"/>
    <n v="5"/>
    <n v="5"/>
    <n v="5"/>
    <n v="5"/>
    <n v="5"/>
    <n v="5"/>
    <n v="5"/>
    <n v="5"/>
    <n v="3"/>
    <n v="3"/>
    <n v="2"/>
    <n v="3"/>
    <n v="2"/>
    <n v="1"/>
    <n v="1"/>
    <n v="1"/>
    <n v="1"/>
    <n v="2"/>
    <x v="8"/>
    <x v="105"/>
  </r>
  <r>
    <n v="23"/>
    <s v="25 - 34"/>
    <s v="Male"/>
    <s v="Bachelor's Degree"/>
    <x v="2"/>
    <s v="Less than 1 year"/>
    <n v="5"/>
    <n v="5"/>
    <n v="5"/>
    <n v="5"/>
    <n v="6"/>
    <n v="4"/>
    <n v="5"/>
    <n v="5"/>
    <n v="7"/>
    <n v="7"/>
    <n v="7"/>
    <n v="6"/>
    <n v="5"/>
    <n v="5"/>
    <n v="5"/>
    <n v="5"/>
    <n v="5"/>
    <n v="5"/>
    <n v="5"/>
    <n v="5"/>
    <n v="5"/>
    <n v="5"/>
    <n v="5"/>
    <n v="5"/>
    <n v="3"/>
    <n v="3"/>
    <n v="2"/>
    <n v="3"/>
    <n v="2"/>
    <n v="1"/>
    <n v="1"/>
    <n v="1"/>
    <n v="1"/>
    <n v="2"/>
    <x v="9"/>
    <x v="106"/>
  </r>
  <r>
    <n v="23"/>
    <s v="25 - 34"/>
    <s v="Male"/>
    <s v="Bachelor's Degree"/>
    <x v="2"/>
    <s v="Less than 1 year"/>
    <n v="5"/>
    <n v="5"/>
    <n v="5"/>
    <n v="5"/>
    <n v="6"/>
    <n v="4"/>
    <n v="5"/>
    <n v="5"/>
    <n v="7"/>
    <n v="7"/>
    <n v="7"/>
    <n v="6"/>
    <n v="5"/>
    <n v="5"/>
    <n v="5"/>
    <n v="5"/>
    <n v="5"/>
    <n v="5"/>
    <n v="5"/>
    <n v="5"/>
    <n v="5"/>
    <n v="5"/>
    <n v="5"/>
    <n v="5"/>
    <n v="3"/>
    <n v="3"/>
    <n v="2"/>
    <n v="3"/>
    <n v="2"/>
    <n v="1"/>
    <n v="1"/>
    <n v="1"/>
    <n v="1"/>
    <n v="2"/>
    <x v="10"/>
    <x v="107"/>
  </r>
  <r>
    <n v="23"/>
    <s v="25 - 34"/>
    <s v="Male"/>
    <s v="Bachelor's Degree"/>
    <x v="2"/>
    <s v="Less than 1 year"/>
    <n v="5"/>
    <n v="5"/>
    <n v="5"/>
    <n v="5"/>
    <n v="6"/>
    <n v="4"/>
    <n v="5"/>
    <n v="5"/>
    <n v="7"/>
    <n v="7"/>
    <n v="7"/>
    <n v="6"/>
    <n v="5"/>
    <n v="5"/>
    <n v="5"/>
    <n v="5"/>
    <n v="5"/>
    <n v="5"/>
    <n v="5"/>
    <n v="5"/>
    <n v="5"/>
    <n v="5"/>
    <n v="5"/>
    <n v="5"/>
    <n v="3"/>
    <n v="3"/>
    <n v="2"/>
    <n v="3"/>
    <n v="2"/>
    <n v="1"/>
    <n v="1"/>
    <n v="1"/>
    <n v="1"/>
    <n v="2"/>
    <x v="11"/>
    <x v="11"/>
  </r>
  <r>
    <n v="23"/>
    <s v="25 - 34"/>
    <s v="Male"/>
    <s v="Bachelor's Degree"/>
    <x v="2"/>
    <s v="Less than 1 year"/>
    <n v="5"/>
    <n v="5"/>
    <n v="5"/>
    <n v="5"/>
    <n v="6"/>
    <n v="4"/>
    <n v="5"/>
    <n v="5"/>
    <n v="7"/>
    <n v="7"/>
    <n v="7"/>
    <n v="6"/>
    <n v="5"/>
    <n v="5"/>
    <n v="5"/>
    <n v="5"/>
    <n v="5"/>
    <n v="5"/>
    <n v="5"/>
    <n v="5"/>
    <n v="5"/>
    <n v="5"/>
    <n v="5"/>
    <n v="5"/>
    <n v="3"/>
    <n v="3"/>
    <n v="2"/>
    <n v="3"/>
    <n v="2"/>
    <n v="1"/>
    <n v="1"/>
    <n v="1"/>
    <n v="1"/>
    <n v="2"/>
    <x v="12"/>
    <x v="2"/>
  </r>
  <r>
    <n v="23"/>
    <s v="25 - 34"/>
    <s v="Male"/>
    <s v="Bachelor's Degree"/>
    <x v="2"/>
    <s v="Less than 1 year"/>
    <n v="5"/>
    <n v="5"/>
    <n v="5"/>
    <n v="5"/>
    <n v="6"/>
    <n v="4"/>
    <n v="5"/>
    <n v="5"/>
    <n v="7"/>
    <n v="7"/>
    <n v="7"/>
    <n v="6"/>
    <n v="5"/>
    <n v="5"/>
    <n v="5"/>
    <n v="5"/>
    <n v="5"/>
    <n v="5"/>
    <n v="5"/>
    <n v="5"/>
    <n v="5"/>
    <n v="5"/>
    <n v="5"/>
    <n v="5"/>
    <n v="3"/>
    <n v="3"/>
    <n v="2"/>
    <n v="3"/>
    <n v="2"/>
    <n v="1"/>
    <n v="1"/>
    <n v="1"/>
    <n v="1"/>
    <n v="2"/>
    <x v="13"/>
    <x v="63"/>
  </r>
  <r>
    <n v="24"/>
    <s v="18 - 24"/>
    <s v="Male"/>
    <s v="Bachelor's Degree"/>
    <x v="1"/>
    <s v="1-3 years"/>
    <n v="4"/>
    <n v="2"/>
    <n v="2"/>
    <n v="4"/>
    <n v="4"/>
    <n v="4"/>
    <n v="4"/>
    <n v="4"/>
    <n v="4"/>
    <n v="4"/>
    <n v="4"/>
    <n v="4"/>
    <n v="2"/>
    <n v="2"/>
    <n v="4"/>
    <n v="4"/>
    <n v="2"/>
    <n v="3"/>
    <n v="4"/>
    <n v="4"/>
    <n v="5"/>
    <n v="4"/>
    <n v="4"/>
    <n v="4"/>
    <n v="3"/>
    <n v="3"/>
    <n v="3"/>
    <n v="3"/>
    <n v="3"/>
    <n v="3"/>
    <n v="3"/>
    <n v="3"/>
    <n v="3"/>
    <n v="3"/>
    <x v="0"/>
    <x v="21"/>
  </r>
  <r>
    <n v="24"/>
    <s v="18 - 24"/>
    <s v="Male"/>
    <s v="Bachelor's Degree"/>
    <x v="1"/>
    <s v="1-3 years"/>
    <n v="4"/>
    <n v="2"/>
    <n v="2"/>
    <n v="4"/>
    <n v="4"/>
    <n v="4"/>
    <n v="4"/>
    <n v="4"/>
    <n v="4"/>
    <n v="4"/>
    <n v="4"/>
    <n v="4"/>
    <n v="2"/>
    <n v="2"/>
    <n v="4"/>
    <n v="4"/>
    <n v="2"/>
    <n v="3"/>
    <n v="4"/>
    <n v="4"/>
    <n v="5"/>
    <n v="4"/>
    <n v="4"/>
    <n v="4"/>
    <n v="3"/>
    <n v="3"/>
    <n v="3"/>
    <n v="3"/>
    <n v="3"/>
    <n v="3"/>
    <n v="3"/>
    <n v="3"/>
    <n v="3"/>
    <n v="3"/>
    <x v="1"/>
    <x v="14"/>
  </r>
  <r>
    <n v="24"/>
    <s v="18 - 24"/>
    <s v="Male"/>
    <s v="Bachelor's Degree"/>
    <x v="1"/>
    <s v="1-3 years"/>
    <n v="4"/>
    <n v="2"/>
    <n v="2"/>
    <n v="4"/>
    <n v="4"/>
    <n v="4"/>
    <n v="4"/>
    <n v="4"/>
    <n v="4"/>
    <n v="4"/>
    <n v="4"/>
    <n v="4"/>
    <n v="2"/>
    <n v="2"/>
    <n v="4"/>
    <n v="4"/>
    <n v="2"/>
    <n v="3"/>
    <n v="4"/>
    <n v="4"/>
    <n v="5"/>
    <n v="4"/>
    <n v="4"/>
    <n v="4"/>
    <n v="3"/>
    <n v="3"/>
    <n v="3"/>
    <n v="3"/>
    <n v="3"/>
    <n v="3"/>
    <n v="3"/>
    <n v="3"/>
    <n v="3"/>
    <n v="3"/>
    <x v="2"/>
    <x v="2"/>
  </r>
  <r>
    <n v="24"/>
    <s v="18 - 24"/>
    <s v="Male"/>
    <s v="Bachelor's Degree"/>
    <x v="1"/>
    <s v="1-3 years"/>
    <n v="4"/>
    <n v="2"/>
    <n v="2"/>
    <n v="4"/>
    <n v="4"/>
    <n v="4"/>
    <n v="4"/>
    <n v="4"/>
    <n v="4"/>
    <n v="4"/>
    <n v="4"/>
    <n v="4"/>
    <n v="2"/>
    <n v="2"/>
    <n v="4"/>
    <n v="4"/>
    <n v="2"/>
    <n v="3"/>
    <n v="4"/>
    <n v="4"/>
    <n v="5"/>
    <n v="4"/>
    <n v="4"/>
    <n v="4"/>
    <n v="3"/>
    <n v="3"/>
    <n v="3"/>
    <n v="3"/>
    <n v="3"/>
    <n v="3"/>
    <n v="3"/>
    <n v="3"/>
    <n v="3"/>
    <n v="3"/>
    <x v="3"/>
    <x v="32"/>
  </r>
  <r>
    <n v="24"/>
    <s v="18 - 24"/>
    <s v="Male"/>
    <s v="Bachelor's Degree"/>
    <x v="1"/>
    <s v="1-3 years"/>
    <n v="4"/>
    <n v="2"/>
    <n v="2"/>
    <n v="4"/>
    <n v="4"/>
    <n v="4"/>
    <n v="4"/>
    <n v="4"/>
    <n v="4"/>
    <n v="4"/>
    <n v="4"/>
    <n v="4"/>
    <n v="2"/>
    <n v="2"/>
    <n v="4"/>
    <n v="4"/>
    <n v="2"/>
    <n v="3"/>
    <n v="4"/>
    <n v="4"/>
    <n v="5"/>
    <n v="4"/>
    <n v="4"/>
    <n v="4"/>
    <n v="3"/>
    <n v="3"/>
    <n v="3"/>
    <n v="3"/>
    <n v="3"/>
    <n v="3"/>
    <n v="3"/>
    <n v="3"/>
    <n v="3"/>
    <n v="3"/>
    <x v="4"/>
    <x v="23"/>
  </r>
  <r>
    <n v="24"/>
    <s v="18 - 24"/>
    <s v="Male"/>
    <s v="Bachelor's Degree"/>
    <x v="1"/>
    <s v="1-3 years"/>
    <n v="4"/>
    <n v="2"/>
    <n v="2"/>
    <n v="4"/>
    <n v="4"/>
    <n v="4"/>
    <n v="4"/>
    <n v="4"/>
    <n v="4"/>
    <n v="4"/>
    <n v="4"/>
    <n v="4"/>
    <n v="2"/>
    <n v="2"/>
    <n v="4"/>
    <n v="4"/>
    <n v="2"/>
    <n v="3"/>
    <n v="4"/>
    <n v="4"/>
    <n v="5"/>
    <n v="4"/>
    <n v="4"/>
    <n v="4"/>
    <n v="3"/>
    <n v="3"/>
    <n v="3"/>
    <n v="3"/>
    <n v="3"/>
    <n v="3"/>
    <n v="3"/>
    <n v="3"/>
    <n v="3"/>
    <n v="3"/>
    <x v="5"/>
    <x v="33"/>
  </r>
  <r>
    <n v="24"/>
    <s v="18 - 24"/>
    <s v="Male"/>
    <s v="Bachelor's Degree"/>
    <x v="1"/>
    <s v="1-3 years"/>
    <n v="4"/>
    <n v="2"/>
    <n v="2"/>
    <n v="4"/>
    <n v="4"/>
    <n v="4"/>
    <n v="4"/>
    <n v="4"/>
    <n v="4"/>
    <n v="4"/>
    <n v="4"/>
    <n v="4"/>
    <n v="2"/>
    <n v="2"/>
    <n v="4"/>
    <n v="4"/>
    <n v="2"/>
    <n v="3"/>
    <n v="4"/>
    <n v="4"/>
    <n v="5"/>
    <n v="4"/>
    <n v="4"/>
    <n v="4"/>
    <n v="3"/>
    <n v="3"/>
    <n v="3"/>
    <n v="3"/>
    <n v="3"/>
    <n v="3"/>
    <n v="3"/>
    <n v="3"/>
    <n v="3"/>
    <n v="3"/>
    <x v="6"/>
    <x v="25"/>
  </r>
  <r>
    <n v="24"/>
    <s v="18 - 24"/>
    <s v="Male"/>
    <s v="Bachelor's Degree"/>
    <x v="1"/>
    <s v="1-3 years"/>
    <n v="4"/>
    <n v="2"/>
    <n v="2"/>
    <n v="4"/>
    <n v="4"/>
    <n v="4"/>
    <n v="4"/>
    <n v="4"/>
    <n v="4"/>
    <n v="4"/>
    <n v="4"/>
    <n v="4"/>
    <n v="2"/>
    <n v="2"/>
    <n v="4"/>
    <n v="4"/>
    <n v="2"/>
    <n v="3"/>
    <n v="4"/>
    <n v="4"/>
    <n v="5"/>
    <n v="4"/>
    <n v="4"/>
    <n v="4"/>
    <n v="3"/>
    <n v="3"/>
    <n v="3"/>
    <n v="3"/>
    <n v="3"/>
    <n v="3"/>
    <n v="3"/>
    <n v="3"/>
    <n v="3"/>
    <n v="3"/>
    <x v="7"/>
    <x v="26"/>
  </r>
  <r>
    <n v="24"/>
    <s v="18 - 24"/>
    <s v="Male"/>
    <s v="Bachelor's Degree"/>
    <x v="1"/>
    <s v="1-3 years"/>
    <n v="4"/>
    <n v="2"/>
    <n v="2"/>
    <n v="4"/>
    <n v="4"/>
    <n v="4"/>
    <n v="4"/>
    <n v="4"/>
    <n v="4"/>
    <n v="4"/>
    <n v="4"/>
    <n v="4"/>
    <n v="2"/>
    <n v="2"/>
    <n v="4"/>
    <n v="4"/>
    <n v="2"/>
    <n v="3"/>
    <n v="4"/>
    <n v="4"/>
    <n v="5"/>
    <n v="4"/>
    <n v="4"/>
    <n v="4"/>
    <n v="3"/>
    <n v="3"/>
    <n v="3"/>
    <n v="3"/>
    <n v="3"/>
    <n v="3"/>
    <n v="3"/>
    <n v="3"/>
    <n v="3"/>
    <n v="3"/>
    <x v="8"/>
    <x v="8"/>
  </r>
  <r>
    <n v="24"/>
    <s v="18 - 24"/>
    <s v="Male"/>
    <s v="Bachelor's Degree"/>
    <x v="1"/>
    <s v="1-3 years"/>
    <n v="4"/>
    <n v="2"/>
    <n v="2"/>
    <n v="4"/>
    <n v="4"/>
    <n v="4"/>
    <n v="4"/>
    <n v="4"/>
    <n v="4"/>
    <n v="4"/>
    <n v="4"/>
    <n v="4"/>
    <n v="2"/>
    <n v="2"/>
    <n v="4"/>
    <n v="4"/>
    <n v="2"/>
    <n v="3"/>
    <n v="4"/>
    <n v="4"/>
    <n v="5"/>
    <n v="4"/>
    <n v="4"/>
    <n v="4"/>
    <n v="3"/>
    <n v="3"/>
    <n v="3"/>
    <n v="3"/>
    <n v="3"/>
    <n v="3"/>
    <n v="3"/>
    <n v="3"/>
    <n v="3"/>
    <n v="3"/>
    <x v="9"/>
    <x v="108"/>
  </r>
  <r>
    <n v="24"/>
    <s v="18 - 24"/>
    <s v="Male"/>
    <s v="Bachelor's Degree"/>
    <x v="1"/>
    <s v="1-3 years"/>
    <n v="4"/>
    <n v="2"/>
    <n v="2"/>
    <n v="4"/>
    <n v="4"/>
    <n v="4"/>
    <n v="4"/>
    <n v="4"/>
    <n v="4"/>
    <n v="4"/>
    <n v="4"/>
    <n v="4"/>
    <n v="2"/>
    <n v="2"/>
    <n v="4"/>
    <n v="4"/>
    <n v="2"/>
    <n v="3"/>
    <n v="4"/>
    <n v="4"/>
    <n v="5"/>
    <n v="4"/>
    <n v="4"/>
    <n v="4"/>
    <n v="3"/>
    <n v="3"/>
    <n v="3"/>
    <n v="3"/>
    <n v="3"/>
    <n v="3"/>
    <n v="3"/>
    <n v="3"/>
    <n v="3"/>
    <n v="3"/>
    <x v="10"/>
    <x v="109"/>
  </r>
  <r>
    <n v="24"/>
    <s v="18 - 24"/>
    <s v="Male"/>
    <s v="Bachelor's Degree"/>
    <x v="1"/>
    <s v="1-3 years"/>
    <n v="4"/>
    <n v="2"/>
    <n v="2"/>
    <n v="4"/>
    <n v="4"/>
    <n v="4"/>
    <n v="4"/>
    <n v="4"/>
    <n v="4"/>
    <n v="4"/>
    <n v="4"/>
    <n v="4"/>
    <n v="2"/>
    <n v="2"/>
    <n v="4"/>
    <n v="4"/>
    <n v="2"/>
    <n v="3"/>
    <n v="4"/>
    <n v="4"/>
    <n v="5"/>
    <n v="4"/>
    <n v="4"/>
    <n v="4"/>
    <n v="3"/>
    <n v="3"/>
    <n v="3"/>
    <n v="3"/>
    <n v="3"/>
    <n v="3"/>
    <n v="3"/>
    <n v="3"/>
    <n v="3"/>
    <n v="3"/>
    <x v="11"/>
    <x v="101"/>
  </r>
  <r>
    <n v="24"/>
    <s v="18 - 24"/>
    <s v="Male"/>
    <s v="Bachelor's Degree"/>
    <x v="1"/>
    <s v="1-3 years"/>
    <n v="4"/>
    <n v="2"/>
    <n v="2"/>
    <n v="4"/>
    <n v="4"/>
    <n v="4"/>
    <n v="4"/>
    <n v="4"/>
    <n v="4"/>
    <n v="4"/>
    <n v="4"/>
    <n v="4"/>
    <n v="2"/>
    <n v="2"/>
    <n v="4"/>
    <n v="4"/>
    <n v="2"/>
    <n v="3"/>
    <n v="4"/>
    <n v="4"/>
    <n v="5"/>
    <n v="4"/>
    <n v="4"/>
    <n v="4"/>
    <n v="3"/>
    <n v="3"/>
    <n v="3"/>
    <n v="3"/>
    <n v="3"/>
    <n v="3"/>
    <n v="3"/>
    <n v="3"/>
    <n v="3"/>
    <n v="3"/>
    <x v="12"/>
    <x v="2"/>
  </r>
  <r>
    <n v="24"/>
    <s v="18 - 24"/>
    <s v="Male"/>
    <s v="Bachelor's Degree"/>
    <x v="1"/>
    <s v="1-3 years"/>
    <n v="4"/>
    <n v="2"/>
    <n v="2"/>
    <n v="4"/>
    <n v="4"/>
    <n v="4"/>
    <n v="4"/>
    <n v="4"/>
    <n v="4"/>
    <n v="4"/>
    <n v="4"/>
    <n v="4"/>
    <n v="2"/>
    <n v="2"/>
    <n v="4"/>
    <n v="4"/>
    <n v="2"/>
    <n v="3"/>
    <n v="4"/>
    <n v="4"/>
    <n v="5"/>
    <n v="4"/>
    <n v="4"/>
    <n v="4"/>
    <n v="3"/>
    <n v="3"/>
    <n v="3"/>
    <n v="3"/>
    <n v="3"/>
    <n v="3"/>
    <n v="3"/>
    <n v="3"/>
    <n v="3"/>
    <n v="3"/>
    <x v="13"/>
    <x v="54"/>
  </r>
  <r>
    <n v="25"/>
    <s v="45 - 54"/>
    <s v="Male"/>
    <s v="Associate's Degree/Diploma"/>
    <x v="2"/>
    <s v="3-5 years"/>
    <n v="4"/>
    <n v="5"/>
    <n v="3"/>
    <n v="4"/>
    <n v="5"/>
    <n v="3"/>
    <n v="5"/>
    <n v="4"/>
    <n v="4"/>
    <n v="3"/>
    <n v="5"/>
    <n v="6"/>
    <n v="3"/>
    <n v="4"/>
    <n v="3"/>
    <n v="4"/>
    <n v="2"/>
    <n v="4"/>
    <n v="4"/>
    <n v="4"/>
    <n v="3"/>
    <n v="4"/>
    <n v="4"/>
    <n v="3"/>
    <n v="3"/>
    <n v="4"/>
    <n v="4"/>
    <n v="3"/>
    <n v="3"/>
    <n v="3"/>
    <n v="4"/>
    <n v="3"/>
    <n v="4"/>
    <n v="3"/>
    <x v="0"/>
    <x v="21"/>
  </r>
  <r>
    <n v="25"/>
    <s v="45 - 54"/>
    <s v="Male"/>
    <s v="Associate's Degree/Diploma"/>
    <x v="2"/>
    <s v="3-5 years"/>
    <n v="4"/>
    <n v="5"/>
    <n v="3"/>
    <n v="4"/>
    <n v="5"/>
    <n v="3"/>
    <n v="5"/>
    <n v="4"/>
    <n v="4"/>
    <n v="3"/>
    <n v="5"/>
    <n v="6"/>
    <n v="3"/>
    <n v="4"/>
    <n v="3"/>
    <n v="4"/>
    <n v="2"/>
    <n v="4"/>
    <n v="4"/>
    <n v="4"/>
    <n v="3"/>
    <n v="4"/>
    <n v="4"/>
    <n v="3"/>
    <n v="3"/>
    <n v="4"/>
    <n v="4"/>
    <n v="3"/>
    <n v="3"/>
    <n v="3"/>
    <n v="4"/>
    <n v="3"/>
    <n v="4"/>
    <n v="3"/>
    <x v="1"/>
    <x v="110"/>
  </r>
  <r>
    <n v="25"/>
    <s v="45 - 54"/>
    <s v="Male"/>
    <s v="Associate's Degree/Diploma"/>
    <x v="2"/>
    <s v="3-5 years"/>
    <n v="4"/>
    <n v="5"/>
    <n v="3"/>
    <n v="4"/>
    <n v="5"/>
    <n v="3"/>
    <n v="5"/>
    <n v="4"/>
    <n v="4"/>
    <n v="3"/>
    <n v="5"/>
    <n v="6"/>
    <n v="3"/>
    <n v="4"/>
    <n v="3"/>
    <n v="4"/>
    <n v="2"/>
    <n v="4"/>
    <n v="4"/>
    <n v="4"/>
    <n v="3"/>
    <n v="4"/>
    <n v="4"/>
    <n v="3"/>
    <n v="3"/>
    <n v="4"/>
    <n v="4"/>
    <n v="3"/>
    <n v="3"/>
    <n v="3"/>
    <n v="4"/>
    <n v="3"/>
    <n v="4"/>
    <n v="3"/>
    <x v="2"/>
    <x v="2"/>
  </r>
  <r>
    <n v="25"/>
    <s v="45 - 54"/>
    <s v="Male"/>
    <s v="Associate's Degree/Diploma"/>
    <x v="2"/>
    <s v="3-5 years"/>
    <n v="4"/>
    <n v="5"/>
    <n v="3"/>
    <n v="4"/>
    <n v="5"/>
    <n v="3"/>
    <n v="5"/>
    <n v="4"/>
    <n v="4"/>
    <n v="3"/>
    <n v="5"/>
    <n v="6"/>
    <n v="3"/>
    <n v="4"/>
    <n v="3"/>
    <n v="4"/>
    <n v="2"/>
    <n v="4"/>
    <n v="4"/>
    <n v="4"/>
    <n v="3"/>
    <n v="4"/>
    <n v="4"/>
    <n v="3"/>
    <n v="3"/>
    <n v="4"/>
    <n v="4"/>
    <n v="3"/>
    <n v="3"/>
    <n v="3"/>
    <n v="4"/>
    <n v="3"/>
    <n v="4"/>
    <n v="3"/>
    <x v="3"/>
    <x v="22"/>
  </r>
  <r>
    <n v="25"/>
    <s v="45 - 54"/>
    <s v="Male"/>
    <s v="Associate's Degree/Diploma"/>
    <x v="2"/>
    <s v="3-5 years"/>
    <n v="4"/>
    <n v="5"/>
    <n v="3"/>
    <n v="4"/>
    <n v="5"/>
    <n v="3"/>
    <n v="5"/>
    <n v="4"/>
    <n v="4"/>
    <n v="3"/>
    <n v="5"/>
    <n v="6"/>
    <n v="3"/>
    <n v="4"/>
    <n v="3"/>
    <n v="4"/>
    <n v="2"/>
    <n v="4"/>
    <n v="4"/>
    <n v="4"/>
    <n v="3"/>
    <n v="4"/>
    <n v="4"/>
    <n v="3"/>
    <n v="3"/>
    <n v="4"/>
    <n v="4"/>
    <n v="3"/>
    <n v="3"/>
    <n v="3"/>
    <n v="4"/>
    <n v="3"/>
    <n v="4"/>
    <n v="3"/>
    <x v="4"/>
    <x v="80"/>
  </r>
  <r>
    <n v="25"/>
    <s v="45 - 54"/>
    <s v="Male"/>
    <s v="Associate's Degree/Diploma"/>
    <x v="2"/>
    <s v="3-5 years"/>
    <n v="4"/>
    <n v="5"/>
    <n v="3"/>
    <n v="4"/>
    <n v="5"/>
    <n v="3"/>
    <n v="5"/>
    <n v="4"/>
    <n v="4"/>
    <n v="3"/>
    <n v="5"/>
    <n v="6"/>
    <n v="3"/>
    <n v="4"/>
    <n v="3"/>
    <n v="4"/>
    <n v="2"/>
    <n v="4"/>
    <n v="4"/>
    <n v="4"/>
    <n v="3"/>
    <n v="4"/>
    <n v="4"/>
    <n v="3"/>
    <n v="3"/>
    <n v="4"/>
    <n v="4"/>
    <n v="3"/>
    <n v="3"/>
    <n v="3"/>
    <n v="4"/>
    <n v="3"/>
    <n v="4"/>
    <n v="3"/>
    <x v="5"/>
    <x v="5"/>
  </r>
  <r>
    <n v="25"/>
    <s v="45 - 54"/>
    <s v="Male"/>
    <s v="Associate's Degree/Diploma"/>
    <x v="2"/>
    <s v="3-5 years"/>
    <n v="4"/>
    <n v="5"/>
    <n v="3"/>
    <n v="4"/>
    <n v="5"/>
    <n v="3"/>
    <n v="5"/>
    <n v="4"/>
    <n v="4"/>
    <n v="3"/>
    <n v="5"/>
    <n v="6"/>
    <n v="3"/>
    <n v="4"/>
    <n v="3"/>
    <n v="4"/>
    <n v="2"/>
    <n v="4"/>
    <n v="4"/>
    <n v="4"/>
    <n v="3"/>
    <n v="4"/>
    <n v="4"/>
    <n v="3"/>
    <n v="3"/>
    <n v="4"/>
    <n v="4"/>
    <n v="3"/>
    <n v="3"/>
    <n v="3"/>
    <n v="4"/>
    <n v="3"/>
    <n v="4"/>
    <n v="3"/>
    <x v="6"/>
    <x v="25"/>
  </r>
  <r>
    <n v="25"/>
    <s v="45 - 54"/>
    <s v="Male"/>
    <s v="Associate's Degree/Diploma"/>
    <x v="2"/>
    <s v="3-5 years"/>
    <n v="4"/>
    <n v="5"/>
    <n v="3"/>
    <n v="4"/>
    <n v="5"/>
    <n v="3"/>
    <n v="5"/>
    <n v="4"/>
    <n v="4"/>
    <n v="3"/>
    <n v="5"/>
    <n v="6"/>
    <n v="3"/>
    <n v="4"/>
    <n v="3"/>
    <n v="4"/>
    <n v="2"/>
    <n v="4"/>
    <n v="4"/>
    <n v="4"/>
    <n v="3"/>
    <n v="4"/>
    <n v="4"/>
    <n v="3"/>
    <n v="3"/>
    <n v="4"/>
    <n v="4"/>
    <n v="3"/>
    <n v="3"/>
    <n v="3"/>
    <n v="4"/>
    <n v="3"/>
    <n v="4"/>
    <n v="3"/>
    <x v="7"/>
    <x v="111"/>
  </r>
  <r>
    <n v="25"/>
    <s v="45 - 54"/>
    <s v="Male"/>
    <s v="Associate's Degree/Diploma"/>
    <x v="2"/>
    <s v="3-5 years"/>
    <n v="4"/>
    <n v="5"/>
    <n v="3"/>
    <n v="4"/>
    <n v="5"/>
    <n v="3"/>
    <n v="5"/>
    <n v="4"/>
    <n v="4"/>
    <n v="3"/>
    <n v="5"/>
    <n v="6"/>
    <n v="3"/>
    <n v="4"/>
    <n v="3"/>
    <n v="4"/>
    <n v="2"/>
    <n v="4"/>
    <n v="4"/>
    <n v="4"/>
    <n v="3"/>
    <n v="4"/>
    <n v="4"/>
    <n v="3"/>
    <n v="3"/>
    <n v="4"/>
    <n v="4"/>
    <n v="3"/>
    <n v="3"/>
    <n v="3"/>
    <n v="4"/>
    <n v="3"/>
    <n v="4"/>
    <n v="3"/>
    <x v="8"/>
    <x v="27"/>
  </r>
  <r>
    <n v="25"/>
    <s v="45 - 54"/>
    <s v="Male"/>
    <s v="Associate's Degree/Diploma"/>
    <x v="2"/>
    <s v="3-5 years"/>
    <n v="4"/>
    <n v="5"/>
    <n v="3"/>
    <n v="4"/>
    <n v="5"/>
    <n v="3"/>
    <n v="5"/>
    <n v="4"/>
    <n v="4"/>
    <n v="3"/>
    <n v="5"/>
    <n v="6"/>
    <n v="3"/>
    <n v="4"/>
    <n v="3"/>
    <n v="4"/>
    <n v="2"/>
    <n v="4"/>
    <n v="4"/>
    <n v="4"/>
    <n v="3"/>
    <n v="4"/>
    <n v="4"/>
    <n v="3"/>
    <n v="3"/>
    <n v="4"/>
    <n v="4"/>
    <n v="3"/>
    <n v="3"/>
    <n v="3"/>
    <n v="4"/>
    <n v="3"/>
    <n v="4"/>
    <n v="3"/>
    <x v="9"/>
    <x v="112"/>
  </r>
  <r>
    <n v="25"/>
    <s v="45 - 54"/>
    <s v="Male"/>
    <s v="Associate's Degree/Diploma"/>
    <x v="2"/>
    <s v="3-5 years"/>
    <n v="4"/>
    <n v="5"/>
    <n v="3"/>
    <n v="4"/>
    <n v="5"/>
    <n v="3"/>
    <n v="5"/>
    <n v="4"/>
    <n v="4"/>
    <n v="3"/>
    <n v="5"/>
    <n v="6"/>
    <n v="3"/>
    <n v="4"/>
    <n v="3"/>
    <n v="4"/>
    <n v="2"/>
    <n v="4"/>
    <n v="4"/>
    <n v="4"/>
    <n v="3"/>
    <n v="4"/>
    <n v="4"/>
    <n v="3"/>
    <n v="3"/>
    <n v="4"/>
    <n v="4"/>
    <n v="3"/>
    <n v="3"/>
    <n v="3"/>
    <n v="4"/>
    <n v="3"/>
    <n v="4"/>
    <n v="3"/>
    <x v="10"/>
    <x v="113"/>
  </r>
  <r>
    <n v="25"/>
    <s v="45 - 54"/>
    <s v="Male"/>
    <s v="Associate's Degree/Diploma"/>
    <x v="2"/>
    <s v="3-5 years"/>
    <n v="4"/>
    <n v="5"/>
    <n v="3"/>
    <n v="4"/>
    <n v="5"/>
    <n v="3"/>
    <n v="5"/>
    <n v="4"/>
    <n v="4"/>
    <n v="3"/>
    <n v="5"/>
    <n v="6"/>
    <n v="3"/>
    <n v="4"/>
    <n v="3"/>
    <n v="4"/>
    <n v="2"/>
    <n v="4"/>
    <n v="4"/>
    <n v="4"/>
    <n v="3"/>
    <n v="4"/>
    <n v="4"/>
    <n v="3"/>
    <n v="3"/>
    <n v="4"/>
    <n v="4"/>
    <n v="3"/>
    <n v="3"/>
    <n v="3"/>
    <n v="4"/>
    <n v="3"/>
    <n v="4"/>
    <n v="3"/>
    <x v="11"/>
    <x v="11"/>
  </r>
  <r>
    <n v="25"/>
    <s v="45 - 54"/>
    <s v="Male"/>
    <s v="Associate's Degree/Diploma"/>
    <x v="2"/>
    <s v="3-5 years"/>
    <n v="4"/>
    <n v="5"/>
    <n v="3"/>
    <n v="4"/>
    <n v="5"/>
    <n v="3"/>
    <n v="5"/>
    <n v="4"/>
    <n v="4"/>
    <n v="3"/>
    <n v="5"/>
    <n v="6"/>
    <n v="3"/>
    <n v="4"/>
    <n v="3"/>
    <n v="4"/>
    <n v="2"/>
    <n v="4"/>
    <n v="4"/>
    <n v="4"/>
    <n v="3"/>
    <n v="4"/>
    <n v="4"/>
    <n v="3"/>
    <n v="3"/>
    <n v="4"/>
    <n v="4"/>
    <n v="3"/>
    <n v="3"/>
    <n v="3"/>
    <n v="4"/>
    <n v="3"/>
    <n v="4"/>
    <n v="3"/>
    <x v="12"/>
    <x v="2"/>
  </r>
  <r>
    <n v="25"/>
    <s v="45 - 54"/>
    <s v="Male"/>
    <s v="Associate's Degree/Diploma"/>
    <x v="2"/>
    <s v="3-5 years"/>
    <n v="4"/>
    <n v="5"/>
    <n v="3"/>
    <n v="4"/>
    <n v="5"/>
    <n v="3"/>
    <n v="5"/>
    <n v="4"/>
    <n v="4"/>
    <n v="3"/>
    <n v="5"/>
    <n v="6"/>
    <n v="3"/>
    <n v="4"/>
    <n v="3"/>
    <n v="4"/>
    <n v="2"/>
    <n v="4"/>
    <n v="4"/>
    <n v="4"/>
    <n v="3"/>
    <n v="4"/>
    <n v="4"/>
    <n v="3"/>
    <n v="3"/>
    <n v="4"/>
    <n v="4"/>
    <n v="3"/>
    <n v="3"/>
    <n v="3"/>
    <n v="4"/>
    <n v="3"/>
    <n v="4"/>
    <n v="3"/>
    <x v="13"/>
    <x v="78"/>
  </r>
  <r>
    <n v="26"/>
    <s v="18 - 24"/>
    <s v="Male"/>
    <s v="Bachelor's Degree"/>
    <x v="2"/>
    <s v="1-3 years"/>
    <n v="5"/>
    <n v="4"/>
    <n v="4"/>
    <n v="5"/>
    <n v="7"/>
    <n v="4"/>
    <n v="5"/>
    <n v="5"/>
    <n v="6"/>
    <n v="6"/>
    <n v="6"/>
    <n v="6"/>
    <n v="5"/>
    <n v="5"/>
    <n v="5"/>
    <n v="5"/>
    <n v="5"/>
    <n v="5"/>
    <n v="5"/>
    <n v="5"/>
    <n v="5"/>
    <n v="5"/>
    <n v="5"/>
    <n v="5"/>
    <n v="1"/>
    <n v="1"/>
    <n v="2"/>
    <n v="1"/>
    <n v="1"/>
    <n v="2"/>
    <n v="2"/>
    <n v="2"/>
    <n v="2"/>
    <n v="2"/>
    <x v="0"/>
    <x v="0"/>
  </r>
  <r>
    <n v="26"/>
    <s v="18 - 24"/>
    <s v="Male"/>
    <s v="Bachelor's Degree"/>
    <x v="2"/>
    <s v="1-3 years"/>
    <n v="5"/>
    <n v="4"/>
    <n v="4"/>
    <n v="5"/>
    <n v="7"/>
    <n v="4"/>
    <n v="5"/>
    <n v="5"/>
    <n v="6"/>
    <n v="6"/>
    <n v="6"/>
    <n v="6"/>
    <n v="5"/>
    <n v="5"/>
    <n v="5"/>
    <n v="5"/>
    <n v="5"/>
    <n v="5"/>
    <n v="5"/>
    <n v="5"/>
    <n v="5"/>
    <n v="5"/>
    <n v="5"/>
    <n v="5"/>
    <n v="1"/>
    <n v="1"/>
    <n v="2"/>
    <n v="1"/>
    <n v="1"/>
    <n v="2"/>
    <n v="2"/>
    <n v="2"/>
    <n v="2"/>
    <n v="2"/>
    <x v="1"/>
    <x v="1"/>
  </r>
  <r>
    <n v="26"/>
    <s v="18 - 24"/>
    <s v="Male"/>
    <s v="Bachelor's Degree"/>
    <x v="2"/>
    <s v="1-3 years"/>
    <n v="5"/>
    <n v="4"/>
    <n v="4"/>
    <n v="5"/>
    <n v="7"/>
    <n v="4"/>
    <n v="5"/>
    <n v="5"/>
    <n v="6"/>
    <n v="6"/>
    <n v="6"/>
    <n v="6"/>
    <n v="5"/>
    <n v="5"/>
    <n v="5"/>
    <n v="5"/>
    <n v="5"/>
    <n v="5"/>
    <n v="5"/>
    <n v="5"/>
    <n v="5"/>
    <n v="5"/>
    <n v="5"/>
    <n v="5"/>
    <n v="1"/>
    <n v="1"/>
    <n v="2"/>
    <n v="1"/>
    <n v="1"/>
    <n v="2"/>
    <n v="2"/>
    <n v="2"/>
    <n v="2"/>
    <n v="2"/>
    <x v="2"/>
    <x v="2"/>
  </r>
  <r>
    <n v="26"/>
    <s v="18 - 24"/>
    <s v="Male"/>
    <s v="Bachelor's Degree"/>
    <x v="2"/>
    <s v="1-3 years"/>
    <n v="5"/>
    <n v="4"/>
    <n v="4"/>
    <n v="5"/>
    <n v="7"/>
    <n v="4"/>
    <n v="5"/>
    <n v="5"/>
    <n v="6"/>
    <n v="6"/>
    <n v="6"/>
    <n v="6"/>
    <n v="5"/>
    <n v="5"/>
    <n v="5"/>
    <n v="5"/>
    <n v="5"/>
    <n v="5"/>
    <n v="5"/>
    <n v="5"/>
    <n v="5"/>
    <n v="5"/>
    <n v="5"/>
    <n v="5"/>
    <n v="1"/>
    <n v="1"/>
    <n v="2"/>
    <n v="1"/>
    <n v="1"/>
    <n v="2"/>
    <n v="2"/>
    <n v="2"/>
    <n v="2"/>
    <n v="2"/>
    <x v="3"/>
    <x v="22"/>
  </r>
  <r>
    <n v="26"/>
    <s v="18 - 24"/>
    <s v="Male"/>
    <s v="Bachelor's Degree"/>
    <x v="2"/>
    <s v="1-3 years"/>
    <n v="5"/>
    <n v="4"/>
    <n v="4"/>
    <n v="5"/>
    <n v="7"/>
    <n v="4"/>
    <n v="5"/>
    <n v="5"/>
    <n v="6"/>
    <n v="6"/>
    <n v="6"/>
    <n v="6"/>
    <n v="5"/>
    <n v="5"/>
    <n v="5"/>
    <n v="5"/>
    <n v="5"/>
    <n v="5"/>
    <n v="5"/>
    <n v="5"/>
    <n v="5"/>
    <n v="5"/>
    <n v="5"/>
    <n v="5"/>
    <n v="1"/>
    <n v="1"/>
    <n v="2"/>
    <n v="1"/>
    <n v="1"/>
    <n v="2"/>
    <n v="2"/>
    <n v="2"/>
    <n v="2"/>
    <n v="2"/>
    <x v="4"/>
    <x v="23"/>
  </r>
  <r>
    <n v="26"/>
    <s v="18 - 24"/>
    <s v="Male"/>
    <s v="Bachelor's Degree"/>
    <x v="2"/>
    <s v="1-3 years"/>
    <n v="5"/>
    <n v="4"/>
    <n v="4"/>
    <n v="5"/>
    <n v="7"/>
    <n v="4"/>
    <n v="5"/>
    <n v="5"/>
    <n v="6"/>
    <n v="6"/>
    <n v="6"/>
    <n v="6"/>
    <n v="5"/>
    <n v="5"/>
    <n v="5"/>
    <n v="5"/>
    <n v="5"/>
    <n v="5"/>
    <n v="5"/>
    <n v="5"/>
    <n v="5"/>
    <n v="5"/>
    <n v="5"/>
    <n v="5"/>
    <n v="1"/>
    <n v="1"/>
    <n v="2"/>
    <n v="1"/>
    <n v="1"/>
    <n v="2"/>
    <n v="2"/>
    <n v="2"/>
    <n v="2"/>
    <n v="2"/>
    <x v="5"/>
    <x v="33"/>
  </r>
  <r>
    <n v="26"/>
    <s v="18 - 24"/>
    <s v="Male"/>
    <s v="Bachelor's Degree"/>
    <x v="2"/>
    <s v="1-3 years"/>
    <n v="5"/>
    <n v="4"/>
    <n v="4"/>
    <n v="5"/>
    <n v="7"/>
    <n v="4"/>
    <n v="5"/>
    <n v="5"/>
    <n v="6"/>
    <n v="6"/>
    <n v="6"/>
    <n v="6"/>
    <n v="5"/>
    <n v="5"/>
    <n v="5"/>
    <n v="5"/>
    <n v="5"/>
    <n v="5"/>
    <n v="5"/>
    <n v="5"/>
    <n v="5"/>
    <n v="5"/>
    <n v="5"/>
    <n v="5"/>
    <n v="1"/>
    <n v="1"/>
    <n v="2"/>
    <n v="1"/>
    <n v="1"/>
    <n v="2"/>
    <n v="2"/>
    <n v="2"/>
    <n v="2"/>
    <n v="2"/>
    <x v="6"/>
    <x v="114"/>
  </r>
  <r>
    <n v="26"/>
    <s v="18 - 24"/>
    <s v="Male"/>
    <s v="Bachelor's Degree"/>
    <x v="2"/>
    <s v="1-3 years"/>
    <n v="5"/>
    <n v="4"/>
    <n v="4"/>
    <n v="5"/>
    <n v="7"/>
    <n v="4"/>
    <n v="5"/>
    <n v="5"/>
    <n v="6"/>
    <n v="6"/>
    <n v="6"/>
    <n v="6"/>
    <n v="5"/>
    <n v="5"/>
    <n v="5"/>
    <n v="5"/>
    <n v="5"/>
    <n v="5"/>
    <n v="5"/>
    <n v="5"/>
    <n v="5"/>
    <n v="5"/>
    <n v="5"/>
    <n v="5"/>
    <n v="1"/>
    <n v="1"/>
    <n v="2"/>
    <n v="1"/>
    <n v="1"/>
    <n v="2"/>
    <n v="2"/>
    <n v="2"/>
    <n v="2"/>
    <n v="2"/>
    <x v="7"/>
    <x v="115"/>
  </r>
  <r>
    <n v="26"/>
    <s v="18 - 24"/>
    <s v="Male"/>
    <s v="Bachelor's Degree"/>
    <x v="2"/>
    <s v="1-3 years"/>
    <n v="5"/>
    <n v="4"/>
    <n v="4"/>
    <n v="5"/>
    <n v="7"/>
    <n v="4"/>
    <n v="5"/>
    <n v="5"/>
    <n v="6"/>
    <n v="6"/>
    <n v="6"/>
    <n v="6"/>
    <n v="5"/>
    <n v="5"/>
    <n v="5"/>
    <n v="5"/>
    <n v="5"/>
    <n v="5"/>
    <n v="5"/>
    <n v="5"/>
    <n v="5"/>
    <n v="5"/>
    <n v="5"/>
    <n v="5"/>
    <n v="1"/>
    <n v="1"/>
    <n v="2"/>
    <n v="1"/>
    <n v="1"/>
    <n v="2"/>
    <n v="2"/>
    <n v="2"/>
    <n v="2"/>
    <n v="2"/>
    <x v="8"/>
    <x v="65"/>
  </r>
  <r>
    <n v="26"/>
    <s v="18 - 24"/>
    <s v="Male"/>
    <s v="Bachelor's Degree"/>
    <x v="2"/>
    <s v="1-3 years"/>
    <n v="5"/>
    <n v="4"/>
    <n v="4"/>
    <n v="5"/>
    <n v="7"/>
    <n v="4"/>
    <n v="5"/>
    <n v="5"/>
    <n v="6"/>
    <n v="6"/>
    <n v="6"/>
    <n v="6"/>
    <n v="5"/>
    <n v="5"/>
    <n v="5"/>
    <n v="5"/>
    <n v="5"/>
    <n v="5"/>
    <n v="5"/>
    <n v="5"/>
    <n v="5"/>
    <n v="5"/>
    <n v="5"/>
    <n v="5"/>
    <n v="1"/>
    <n v="1"/>
    <n v="2"/>
    <n v="1"/>
    <n v="1"/>
    <n v="2"/>
    <n v="2"/>
    <n v="2"/>
    <n v="2"/>
    <n v="2"/>
    <x v="9"/>
    <x v="116"/>
  </r>
  <r>
    <n v="26"/>
    <s v="18 - 24"/>
    <s v="Male"/>
    <s v="Bachelor's Degree"/>
    <x v="2"/>
    <s v="1-3 years"/>
    <n v="5"/>
    <n v="4"/>
    <n v="4"/>
    <n v="5"/>
    <n v="7"/>
    <n v="4"/>
    <n v="5"/>
    <n v="5"/>
    <n v="6"/>
    <n v="6"/>
    <n v="6"/>
    <n v="6"/>
    <n v="5"/>
    <n v="5"/>
    <n v="5"/>
    <n v="5"/>
    <n v="5"/>
    <n v="5"/>
    <n v="5"/>
    <n v="5"/>
    <n v="5"/>
    <n v="5"/>
    <n v="5"/>
    <n v="5"/>
    <n v="1"/>
    <n v="1"/>
    <n v="2"/>
    <n v="1"/>
    <n v="1"/>
    <n v="2"/>
    <n v="2"/>
    <n v="2"/>
    <n v="2"/>
    <n v="2"/>
    <x v="10"/>
    <x v="117"/>
  </r>
  <r>
    <n v="26"/>
    <s v="18 - 24"/>
    <s v="Male"/>
    <s v="Bachelor's Degree"/>
    <x v="2"/>
    <s v="1-3 years"/>
    <n v="5"/>
    <n v="4"/>
    <n v="4"/>
    <n v="5"/>
    <n v="7"/>
    <n v="4"/>
    <n v="5"/>
    <n v="5"/>
    <n v="6"/>
    <n v="6"/>
    <n v="6"/>
    <n v="6"/>
    <n v="5"/>
    <n v="5"/>
    <n v="5"/>
    <n v="5"/>
    <n v="5"/>
    <n v="5"/>
    <n v="5"/>
    <n v="5"/>
    <n v="5"/>
    <n v="5"/>
    <n v="5"/>
    <n v="5"/>
    <n v="1"/>
    <n v="1"/>
    <n v="2"/>
    <n v="1"/>
    <n v="1"/>
    <n v="2"/>
    <n v="2"/>
    <n v="2"/>
    <n v="2"/>
    <n v="2"/>
    <x v="11"/>
    <x v="11"/>
  </r>
  <r>
    <n v="26"/>
    <s v="18 - 24"/>
    <s v="Male"/>
    <s v="Bachelor's Degree"/>
    <x v="2"/>
    <s v="1-3 years"/>
    <n v="5"/>
    <n v="4"/>
    <n v="4"/>
    <n v="5"/>
    <n v="7"/>
    <n v="4"/>
    <n v="5"/>
    <n v="5"/>
    <n v="6"/>
    <n v="6"/>
    <n v="6"/>
    <n v="6"/>
    <n v="5"/>
    <n v="5"/>
    <n v="5"/>
    <n v="5"/>
    <n v="5"/>
    <n v="5"/>
    <n v="5"/>
    <n v="5"/>
    <n v="5"/>
    <n v="5"/>
    <n v="5"/>
    <n v="5"/>
    <n v="1"/>
    <n v="1"/>
    <n v="2"/>
    <n v="1"/>
    <n v="1"/>
    <n v="2"/>
    <n v="2"/>
    <n v="2"/>
    <n v="2"/>
    <n v="2"/>
    <x v="12"/>
    <x v="15"/>
  </r>
  <r>
    <n v="26"/>
    <s v="18 - 24"/>
    <s v="Male"/>
    <s v="Bachelor's Degree"/>
    <x v="2"/>
    <s v="1-3 years"/>
    <n v="5"/>
    <n v="4"/>
    <n v="4"/>
    <n v="5"/>
    <n v="7"/>
    <n v="4"/>
    <n v="5"/>
    <n v="5"/>
    <n v="6"/>
    <n v="6"/>
    <n v="6"/>
    <n v="6"/>
    <n v="5"/>
    <n v="5"/>
    <n v="5"/>
    <n v="5"/>
    <n v="5"/>
    <n v="5"/>
    <n v="5"/>
    <n v="5"/>
    <n v="5"/>
    <n v="5"/>
    <n v="5"/>
    <n v="5"/>
    <n v="1"/>
    <n v="1"/>
    <n v="2"/>
    <n v="1"/>
    <n v="1"/>
    <n v="2"/>
    <n v="2"/>
    <n v="2"/>
    <n v="2"/>
    <n v="2"/>
    <x v="13"/>
    <x v="118"/>
  </r>
  <r>
    <n v="27"/>
    <s v="25 - 34"/>
    <s v="Female"/>
    <s v="Bachelor's Degree"/>
    <x v="1"/>
    <s v="Less than 1 year"/>
    <n v="1"/>
    <n v="2"/>
    <n v="1"/>
    <n v="2"/>
    <n v="1"/>
    <n v="2"/>
    <n v="1"/>
    <n v="2"/>
    <n v="1"/>
    <n v="2"/>
    <n v="1"/>
    <n v="2"/>
    <n v="5"/>
    <n v="1"/>
    <n v="1"/>
    <n v="2"/>
    <n v="1"/>
    <n v="2"/>
    <n v="2"/>
    <n v="1"/>
    <n v="2"/>
    <n v="1"/>
    <n v="2"/>
    <n v="1"/>
    <n v="2"/>
    <n v="1"/>
    <n v="2"/>
    <n v="1"/>
    <n v="2"/>
    <n v="1"/>
    <n v="2"/>
    <n v="1"/>
    <n v="2"/>
    <n v="1"/>
    <x v="0"/>
    <x v="0"/>
  </r>
  <r>
    <n v="27"/>
    <s v="25 - 34"/>
    <s v="Female"/>
    <s v="Bachelor's Degree"/>
    <x v="1"/>
    <s v="Less than 1 year"/>
    <n v="1"/>
    <n v="2"/>
    <n v="1"/>
    <n v="2"/>
    <n v="1"/>
    <n v="2"/>
    <n v="1"/>
    <n v="2"/>
    <n v="1"/>
    <n v="2"/>
    <n v="1"/>
    <n v="2"/>
    <n v="5"/>
    <n v="1"/>
    <n v="1"/>
    <n v="2"/>
    <n v="1"/>
    <n v="2"/>
    <n v="2"/>
    <n v="1"/>
    <n v="2"/>
    <n v="1"/>
    <n v="2"/>
    <n v="1"/>
    <n v="2"/>
    <n v="1"/>
    <n v="2"/>
    <n v="1"/>
    <n v="2"/>
    <n v="1"/>
    <n v="2"/>
    <n v="1"/>
    <n v="2"/>
    <n v="1"/>
    <x v="1"/>
    <x v="1"/>
  </r>
  <r>
    <n v="27"/>
    <s v="25 - 34"/>
    <s v="Female"/>
    <s v="Bachelor's Degree"/>
    <x v="1"/>
    <s v="Less than 1 year"/>
    <n v="1"/>
    <n v="2"/>
    <n v="1"/>
    <n v="2"/>
    <n v="1"/>
    <n v="2"/>
    <n v="1"/>
    <n v="2"/>
    <n v="1"/>
    <n v="2"/>
    <n v="1"/>
    <n v="2"/>
    <n v="5"/>
    <n v="1"/>
    <n v="1"/>
    <n v="2"/>
    <n v="1"/>
    <n v="2"/>
    <n v="2"/>
    <n v="1"/>
    <n v="2"/>
    <n v="1"/>
    <n v="2"/>
    <n v="1"/>
    <n v="2"/>
    <n v="1"/>
    <n v="2"/>
    <n v="1"/>
    <n v="2"/>
    <n v="1"/>
    <n v="2"/>
    <n v="1"/>
    <n v="2"/>
    <n v="1"/>
    <x v="2"/>
    <x v="31"/>
  </r>
  <r>
    <n v="27"/>
    <s v="25 - 34"/>
    <s v="Female"/>
    <s v="Bachelor's Degree"/>
    <x v="1"/>
    <s v="Less than 1 year"/>
    <n v="1"/>
    <n v="2"/>
    <n v="1"/>
    <n v="2"/>
    <n v="1"/>
    <n v="2"/>
    <n v="1"/>
    <n v="2"/>
    <n v="1"/>
    <n v="2"/>
    <n v="1"/>
    <n v="2"/>
    <n v="5"/>
    <n v="1"/>
    <n v="1"/>
    <n v="2"/>
    <n v="1"/>
    <n v="2"/>
    <n v="2"/>
    <n v="1"/>
    <n v="2"/>
    <n v="1"/>
    <n v="2"/>
    <n v="1"/>
    <n v="2"/>
    <n v="1"/>
    <n v="2"/>
    <n v="1"/>
    <n v="2"/>
    <n v="1"/>
    <n v="2"/>
    <n v="1"/>
    <n v="2"/>
    <n v="1"/>
    <x v="3"/>
    <x v="16"/>
  </r>
  <r>
    <n v="27"/>
    <s v="25 - 34"/>
    <s v="Female"/>
    <s v="Bachelor's Degree"/>
    <x v="1"/>
    <s v="Less than 1 year"/>
    <n v="1"/>
    <n v="2"/>
    <n v="1"/>
    <n v="2"/>
    <n v="1"/>
    <n v="2"/>
    <n v="1"/>
    <n v="2"/>
    <n v="1"/>
    <n v="2"/>
    <n v="1"/>
    <n v="2"/>
    <n v="5"/>
    <n v="1"/>
    <n v="1"/>
    <n v="2"/>
    <n v="1"/>
    <n v="2"/>
    <n v="2"/>
    <n v="1"/>
    <n v="2"/>
    <n v="1"/>
    <n v="2"/>
    <n v="1"/>
    <n v="2"/>
    <n v="1"/>
    <n v="2"/>
    <n v="1"/>
    <n v="2"/>
    <n v="1"/>
    <n v="2"/>
    <n v="1"/>
    <n v="2"/>
    <n v="1"/>
    <x v="4"/>
    <x v="73"/>
  </r>
  <r>
    <n v="27"/>
    <s v="25 - 34"/>
    <s v="Female"/>
    <s v="Bachelor's Degree"/>
    <x v="1"/>
    <s v="Less than 1 year"/>
    <n v="1"/>
    <n v="2"/>
    <n v="1"/>
    <n v="2"/>
    <n v="1"/>
    <n v="2"/>
    <n v="1"/>
    <n v="2"/>
    <n v="1"/>
    <n v="2"/>
    <n v="1"/>
    <n v="2"/>
    <n v="5"/>
    <n v="1"/>
    <n v="1"/>
    <n v="2"/>
    <n v="1"/>
    <n v="2"/>
    <n v="2"/>
    <n v="1"/>
    <n v="2"/>
    <n v="1"/>
    <n v="2"/>
    <n v="1"/>
    <n v="2"/>
    <n v="1"/>
    <n v="2"/>
    <n v="1"/>
    <n v="2"/>
    <n v="1"/>
    <n v="2"/>
    <n v="1"/>
    <n v="2"/>
    <n v="1"/>
    <x v="5"/>
    <x v="33"/>
  </r>
  <r>
    <n v="27"/>
    <s v="25 - 34"/>
    <s v="Female"/>
    <s v="Bachelor's Degree"/>
    <x v="1"/>
    <s v="Less than 1 year"/>
    <n v="1"/>
    <n v="2"/>
    <n v="1"/>
    <n v="2"/>
    <n v="1"/>
    <n v="2"/>
    <n v="1"/>
    <n v="2"/>
    <n v="1"/>
    <n v="2"/>
    <n v="1"/>
    <n v="2"/>
    <n v="5"/>
    <n v="1"/>
    <n v="1"/>
    <n v="2"/>
    <n v="1"/>
    <n v="2"/>
    <n v="2"/>
    <n v="1"/>
    <n v="2"/>
    <n v="1"/>
    <n v="2"/>
    <n v="1"/>
    <n v="2"/>
    <n v="1"/>
    <n v="2"/>
    <n v="1"/>
    <n v="2"/>
    <n v="1"/>
    <n v="2"/>
    <n v="1"/>
    <n v="2"/>
    <n v="1"/>
    <x v="6"/>
    <x v="34"/>
  </r>
  <r>
    <n v="27"/>
    <s v="25 - 34"/>
    <s v="Female"/>
    <s v="Bachelor's Degree"/>
    <x v="1"/>
    <s v="Less than 1 year"/>
    <n v="1"/>
    <n v="2"/>
    <n v="1"/>
    <n v="2"/>
    <n v="1"/>
    <n v="2"/>
    <n v="1"/>
    <n v="2"/>
    <n v="1"/>
    <n v="2"/>
    <n v="1"/>
    <n v="2"/>
    <n v="5"/>
    <n v="1"/>
    <n v="1"/>
    <n v="2"/>
    <n v="1"/>
    <n v="2"/>
    <n v="2"/>
    <n v="1"/>
    <n v="2"/>
    <n v="1"/>
    <n v="2"/>
    <n v="1"/>
    <n v="2"/>
    <n v="1"/>
    <n v="2"/>
    <n v="1"/>
    <n v="2"/>
    <n v="1"/>
    <n v="2"/>
    <n v="1"/>
    <n v="2"/>
    <n v="1"/>
    <x v="7"/>
    <x v="119"/>
  </r>
  <r>
    <n v="27"/>
    <s v="25 - 34"/>
    <s v="Female"/>
    <s v="Bachelor's Degree"/>
    <x v="1"/>
    <s v="Less than 1 year"/>
    <n v="1"/>
    <n v="2"/>
    <n v="1"/>
    <n v="2"/>
    <n v="1"/>
    <n v="2"/>
    <n v="1"/>
    <n v="2"/>
    <n v="1"/>
    <n v="2"/>
    <n v="1"/>
    <n v="2"/>
    <n v="5"/>
    <n v="1"/>
    <n v="1"/>
    <n v="2"/>
    <n v="1"/>
    <n v="2"/>
    <n v="2"/>
    <n v="1"/>
    <n v="2"/>
    <n v="1"/>
    <n v="2"/>
    <n v="1"/>
    <n v="2"/>
    <n v="1"/>
    <n v="2"/>
    <n v="1"/>
    <n v="2"/>
    <n v="1"/>
    <n v="2"/>
    <n v="1"/>
    <n v="2"/>
    <n v="1"/>
    <x v="8"/>
    <x v="41"/>
  </r>
  <r>
    <n v="27"/>
    <s v="25 - 34"/>
    <s v="Female"/>
    <s v="Bachelor's Degree"/>
    <x v="1"/>
    <s v="Less than 1 year"/>
    <n v="1"/>
    <n v="2"/>
    <n v="1"/>
    <n v="2"/>
    <n v="1"/>
    <n v="2"/>
    <n v="1"/>
    <n v="2"/>
    <n v="1"/>
    <n v="2"/>
    <n v="1"/>
    <n v="2"/>
    <n v="5"/>
    <n v="1"/>
    <n v="1"/>
    <n v="2"/>
    <n v="1"/>
    <n v="2"/>
    <n v="2"/>
    <n v="1"/>
    <n v="2"/>
    <n v="1"/>
    <n v="2"/>
    <n v="1"/>
    <n v="2"/>
    <n v="1"/>
    <n v="2"/>
    <n v="1"/>
    <n v="2"/>
    <n v="1"/>
    <n v="2"/>
    <n v="1"/>
    <n v="2"/>
    <n v="1"/>
    <x v="9"/>
    <x v="18"/>
  </r>
  <r>
    <n v="27"/>
    <s v="25 - 34"/>
    <s v="Female"/>
    <s v="Bachelor's Degree"/>
    <x v="1"/>
    <s v="Less than 1 year"/>
    <n v="1"/>
    <n v="2"/>
    <n v="1"/>
    <n v="2"/>
    <n v="1"/>
    <n v="2"/>
    <n v="1"/>
    <n v="2"/>
    <n v="1"/>
    <n v="2"/>
    <n v="1"/>
    <n v="2"/>
    <n v="5"/>
    <n v="1"/>
    <n v="1"/>
    <n v="2"/>
    <n v="1"/>
    <n v="2"/>
    <n v="2"/>
    <n v="1"/>
    <n v="2"/>
    <n v="1"/>
    <n v="2"/>
    <n v="1"/>
    <n v="2"/>
    <n v="1"/>
    <n v="2"/>
    <n v="1"/>
    <n v="2"/>
    <n v="1"/>
    <n v="2"/>
    <n v="1"/>
    <n v="2"/>
    <n v="1"/>
    <x v="10"/>
    <x v="120"/>
  </r>
  <r>
    <n v="27"/>
    <s v="25 - 34"/>
    <s v="Female"/>
    <s v="Bachelor's Degree"/>
    <x v="1"/>
    <s v="Less than 1 year"/>
    <n v="1"/>
    <n v="2"/>
    <n v="1"/>
    <n v="2"/>
    <n v="1"/>
    <n v="2"/>
    <n v="1"/>
    <n v="2"/>
    <n v="1"/>
    <n v="2"/>
    <n v="1"/>
    <n v="2"/>
    <n v="5"/>
    <n v="1"/>
    <n v="1"/>
    <n v="2"/>
    <n v="1"/>
    <n v="2"/>
    <n v="2"/>
    <n v="1"/>
    <n v="2"/>
    <n v="1"/>
    <n v="2"/>
    <n v="1"/>
    <n v="2"/>
    <n v="1"/>
    <n v="2"/>
    <n v="1"/>
    <n v="2"/>
    <n v="1"/>
    <n v="2"/>
    <n v="1"/>
    <n v="2"/>
    <n v="1"/>
    <x v="11"/>
    <x v="11"/>
  </r>
  <r>
    <n v="27"/>
    <s v="25 - 34"/>
    <s v="Female"/>
    <s v="Bachelor's Degree"/>
    <x v="1"/>
    <s v="Less than 1 year"/>
    <n v="1"/>
    <n v="2"/>
    <n v="1"/>
    <n v="2"/>
    <n v="1"/>
    <n v="2"/>
    <n v="1"/>
    <n v="2"/>
    <n v="1"/>
    <n v="2"/>
    <n v="1"/>
    <n v="2"/>
    <n v="5"/>
    <n v="1"/>
    <n v="1"/>
    <n v="2"/>
    <n v="1"/>
    <n v="2"/>
    <n v="2"/>
    <n v="1"/>
    <n v="2"/>
    <n v="1"/>
    <n v="2"/>
    <n v="1"/>
    <n v="2"/>
    <n v="1"/>
    <n v="2"/>
    <n v="1"/>
    <n v="2"/>
    <n v="1"/>
    <n v="2"/>
    <n v="1"/>
    <n v="2"/>
    <n v="1"/>
    <x v="12"/>
    <x v="12"/>
  </r>
  <r>
    <n v="27"/>
    <s v="25 - 34"/>
    <s v="Female"/>
    <s v="Bachelor's Degree"/>
    <x v="1"/>
    <s v="Less than 1 year"/>
    <n v="1"/>
    <n v="2"/>
    <n v="1"/>
    <n v="2"/>
    <n v="1"/>
    <n v="2"/>
    <n v="1"/>
    <n v="2"/>
    <n v="1"/>
    <n v="2"/>
    <n v="1"/>
    <n v="2"/>
    <n v="5"/>
    <n v="1"/>
    <n v="1"/>
    <n v="2"/>
    <n v="1"/>
    <n v="2"/>
    <n v="2"/>
    <n v="1"/>
    <n v="2"/>
    <n v="1"/>
    <n v="2"/>
    <n v="1"/>
    <n v="2"/>
    <n v="1"/>
    <n v="2"/>
    <n v="1"/>
    <n v="2"/>
    <n v="1"/>
    <n v="2"/>
    <n v="1"/>
    <n v="2"/>
    <n v="1"/>
    <x v="13"/>
    <x v="72"/>
  </r>
  <r>
    <n v="28"/>
    <s v="45 - 54"/>
    <s v="Male"/>
    <s v="Bachelor's Degree"/>
    <x v="2"/>
    <s v="Less than 1 year"/>
    <n v="1"/>
    <n v="2"/>
    <n v="1"/>
    <n v="2"/>
    <n v="1"/>
    <n v="2"/>
    <n v="1"/>
    <n v="2"/>
    <n v="1"/>
    <n v="2"/>
    <n v="1"/>
    <n v="2"/>
    <n v="1"/>
    <n v="1"/>
    <n v="2"/>
    <n v="1"/>
    <n v="2"/>
    <n v="2"/>
    <n v="1"/>
    <n v="2"/>
    <n v="1"/>
    <n v="2"/>
    <n v="1"/>
    <n v="1"/>
    <n v="1"/>
    <n v="1"/>
    <n v="2"/>
    <n v="1"/>
    <n v="1"/>
    <n v="2"/>
    <n v="1"/>
    <n v="2"/>
    <n v="1"/>
    <n v="2"/>
    <x v="0"/>
    <x v="0"/>
  </r>
  <r>
    <n v="28"/>
    <s v="45 - 54"/>
    <s v="Male"/>
    <s v="Bachelor's Degree"/>
    <x v="2"/>
    <s v="Less than 1 year"/>
    <n v="1"/>
    <n v="2"/>
    <n v="1"/>
    <n v="2"/>
    <n v="1"/>
    <n v="2"/>
    <n v="1"/>
    <n v="2"/>
    <n v="1"/>
    <n v="2"/>
    <n v="1"/>
    <n v="2"/>
    <n v="1"/>
    <n v="1"/>
    <n v="2"/>
    <n v="1"/>
    <n v="2"/>
    <n v="2"/>
    <n v="1"/>
    <n v="2"/>
    <n v="1"/>
    <n v="2"/>
    <n v="1"/>
    <n v="1"/>
    <n v="1"/>
    <n v="1"/>
    <n v="2"/>
    <n v="1"/>
    <n v="1"/>
    <n v="2"/>
    <n v="1"/>
    <n v="2"/>
    <n v="1"/>
    <n v="2"/>
    <x v="1"/>
    <x v="14"/>
  </r>
  <r>
    <n v="28"/>
    <s v="45 - 54"/>
    <s v="Male"/>
    <s v="Bachelor's Degree"/>
    <x v="2"/>
    <s v="Less than 1 year"/>
    <n v="1"/>
    <n v="2"/>
    <n v="1"/>
    <n v="2"/>
    <n v="1"/>
    <n v="2"/>
    <n v="1"/>
    <n v="2"/>
    <n v="1"/>
    <n v="2"/>
    <n v="1"/>
    <n v="2"/>
    <n v="1"/>
    <n v="1"/>
    <n v="2"/>
    <n v="1"/>
    <n v="2"/>
    <n v="2"/>
    <n v="1"/>
    <n v="2"/>
    <n v="1"/>
    <n v="2"/>
    <n v="1"/>
    <n v="1"/>
    <n v="1"/>
    <n v="1"/>
    <n v="2"/>
    <n v="1"/>
    <n v="1"/>
    <n v="2"/>
    <n v="1"/>
    <n v="2"/>
    <n v="1"/>
    <n v="2"/>
    <x v="2"/>
    <x v="31"/>
  </r>
  <r>
    <n v="28"/>
    <s v="45 - 54"/>
    <s v="Male"/>
    <s v="Bachelor's Degree"/>
    <x v="2"/>
    <s v="Less than 1 year"/>
    <n v="1"/>
    <n v="2"/>
    <n v="1"/>
    <n v="2"/>
    <n v="1"/>
    <n v="2"/>
    <n v="1"/>
    <n v="2"/>
    <n v="1"/>
    <n v="2"/>
    <n v="1"/>
    <n v="2"/>
    <n v="1"/>
    <n v="1"/>
    <n v="2"/>
    <n v="1"/>
    <n v="2"/>
    <n v="2"/>
    <n v="1"/>
    <n v="2"/>
    <n v="1"/>
    <n v="2"/>
    <n v="1"/>
    <n v="1"/>
    <n v="1"/>
    <n v="1"/>
    <n v="2"/>
    <n v="1"/>
    <n v="1"/>
    <n v="2"/>
    <n v="1"/>
    <n v="2"/>
    <n v="1"/>
    <n v="2"/>
    <x v="3"/>
    <x v="32"/>
  </r>
  <r>
    <n v="28"/>
    <s v="45 - 54"/>
    <s v="Male"/>
    <s v="Bachelor's Degree"/>
    <x v="2"/>
    <s v="Less than 1 year"/>
    <n v="1"/>
    <n v="2"/>
    <n v="1"/>
    <n v="2"/>
    <n v="1"/>
    <n v="2"/>
    <n v="1"/>
    <n v="2"/>
    <n v="1"/>
    <n v="2"/>
    <n v="1"/>
    <n v="2"/>
    <n v="1"/>
    <n v="1"/>
    <n v="2"/>
    <n v="1"/>
    <n v="2"/>
    <n v="2"/>
    <n v="1"/>
    <n v="2"/>
    <n v="1"/>
    <n v="2"/>
    <n v="1"/>
    <n v="1"/>
    <n v="1"/>
    <n v="1"/>
    <n v="2"/>
    <n v="1"/>
    <n v="1"/>
    <n v="2"/>
    <n v="1"/>
    <n v="2"/>
    <n v="1"/>
    <n v="2"/>
    <x v="4"/>
    <x v="23"/>
  </r>
  <r>
    <n v="28"/>
    <s v="45 - 54"/>
    <s v="Male"/>
    <s v="Bachelor's Degree"/>
    <x v="2"/>
    <s v="Less than 1 year"/>
    <n v="1"/>
    <n v="2"/>
    <n v="1"/>
    <n v="2"/>
    <n v="1"/>
    <n v="2"/>
    <n v="1"/>
    <n v="2"/>
    <n v="1"/>
    <n v="2"/>
    <n v="1"/>
    <n v="2"/>
    <n v="1"/>
    <n v="1"/>
    <n v="2"/>
    <n v="1"/>
    <n v="2"/>
    <n v="2"/>
    <n v="1"/>
    <n v="2"/>
    <n v="1"/>
    <n v="2"/>
    <n v="1"/>
    <n v="1"/>
    <n v="1"/>
    <n v="1"/>
    <n v="2"/>
    <n v="1"/>
    <n v="1"/>
    <n v="2"/>
    <n v="1"/>
    <n v="2"/>
    <n v="1"/>
    <n v="2"/>
    <x v="5"/>
    <x v="5"/>
  </r>
  <r>
    <n v="28"/>
    <s v="45 - 54"/>
    <s v="Male"/>
    <s v="Bachelor's Degree"/>
    <x v="2"/>
    <s v="Less than 1 year"/>
    <n v="1"/>
    <n v="2"/>
    <n v="1"/>
    <n v="2"/>
    <n v="1"/>
    <n v="2"/>
    <n v="1"/>
    <n v="2"/>
    <n v="1"/>
    <n v="2"/>
    <n v="1"/>
    <n v="2"/>
    <n v="1"/>
    <n v="1"/>
    <n v="2"/>
    <n v="1"/>
    <n v="2"/>
    <n v="2"/>
    <n v="1"/>
    <n v="2"/>
    <n v="1"/>
    <n v="2"/>
    <n v="1"/>
    <n v="1"/>
    <n v="1"/>
    <n v="1"/>
    <n v="2"/>
    <n v="1"/>
    <n v="1"/>
    <n v="2"/>
    <n v="1"/>
    <n v="2"/>
    <n v="1"/>
    <n v="2"/>
    <x v="6"/>
    <x v="34"/>
  </r>
  <r>
    <n v="28"/>
    <s v="45 - 54"/>
    <s v="Male"/>
    <s v="Bachelor's Degree"/>
    <x v="2"/>
    <s v="Less than 1 year"/>
    <n v="1"/>
    <n v="2"/>
    <n v="1"/>
    <n v="2"/>
    <n v="1"/>
    <n v="2"/>
    <n v="1"/>
    <n v="2"/>
    <n v="1"/>
    <n v="2"/>
    <n v="1"/>
    <n v="2"/>
    <n v="1"/>
    <n v="1"/>
    <n v="2"/>
    <n v="1"/>
    <n v="2"/>
    <n v="2"/>
    <n v="1"/>
    <n v="2"/>
    <n v="1"/>
    <n v="2"/>
    <n v="1"/>
    <n v="1"/>
    <n v="1"/>
    <n v="1"/>
    <n v="2"/>
    <n v="1"/>
    <n v="1"/>
    <n v="2"/>
    <n v="1"/>
    <n v="2"/>
    <n v="1"/>
    <n v="2"/>
    <x v="7"/>
    <x v="119"/>
  </r>
  <r>
    <n v="28"/>
    <s v="45 - 54"/>
    <s v="Male"/>
    <s v="Bachelor's Degree"/>
    <x v="2"/>
    <s v="Less than 1 year"/>
    <n v="1"/>
    <n v="2"/>
    <n v="1"/>
    <n v="2"/>
    <n v="1"/>
    <n v="2"/>
    <n v="1"/>
    <n v="2"/>
    <n v="1"/>
    <n v="2"/>
    <n v="1"/>
    <n v="2"/>
    <n v="1"/>
    <n v="1"/>
    <n v="2"/>
    <n v="1"/>
    <n v="2"/>
    <n v="2"/>
    <n v="1"/>
    <n v="2"/>
    <n v="1"/>
    <n v="2"/>
    <n v="1"/>
    <n v="1"/>
    <n v="1"/>
    <n v="1"/>
    <n v="2"/>
    <n v="1"/>
    <n v="1"/>
    <n v="2"/>
    <n v="1"/>
    <n v="2"/>
    <n v="1"/>
    <n v="2"/>
    <x v="8"/>
    <x v="41"/>
  </r>
  <r>
    <n v="28"/>
    <s v="45 - 54"/>
    <s v="Male"/>
    <s v="Bachelor's Degree"/>
    <x v="2"/>
    <s v="Less than 1 year"/>
    <n v="1"/>
    <n v="2"/>
    <n v="1"/>
    <n v="2"/>
    <n v="1"/>
    <n v="2"/>
    <n v="1"/>
    <n v="2"/>
    <n v="1"/>
    <n v="2"/>
    <n v="1"/>
    <n v="2"/>
    <n v="1"/>
    <n v="1"/>
    <n v="2"/>
    <n v="1"/>
    <n v="2"/>
    <n v="2"/>
    <n v="1"/>
    <n v="2"/>
    <n v="1"/>
    <n v="2"/>
    <n v="1"/>
    <n v="1"/>
    <n v="1"/>
    <n v="1"/>
    <n v="2"/>
    <n v="1"/>
    <n v="1"/>
    <n v="2"/>
    <n v="1"/>
    <n v="2"/>
    <n v="1"/>
    <n v="2"/>
    <x v="9"/>
    <x v="121"/>
  </r>
  <r>
    <n v="28"/>
    <s v="45 - 54"/>
    <s v="Male"/>
    <s v="Bachelor's Degree"/>
    <x v="2"/>
    <s v="Less than 1 year"/>
    <n v="1"/>
    <n v="2"/>
    <n v="1"/>
    <n v="2"/>
    <n v="1"/>
    <n v="2"/>
    <n v="1"/>
    <n v="2"/>
    <n v="1"/>
    <n v="2"/>
    <n v="1"/>
    <n v="2"/>
    <n v="1"/>
    <n v="1"/>
    <n v="2"/>
    <n v="1"/>
    <n v="2"/>
    <n v="2"/>
    <n v="1"/>
    <n v="2"/>
    <n v="1"/>
    <n v="2"/>
    <n v="1"/>
    <n v="1"/>
    <n v="1"/>
    <n v="1"/>
    <n v="2"/>
    <n v="1"/>
    <n v="1"/>
    <n v="2"/>
    <n v="1"/>
    <n v="2"/>
    <n v="1"/>
    <n v="2"/>
    <x v="10"/>
    <x v="120"/>
  </r>
  <r>
    <n v="28"/>
    <s v="45 - 54"/>
    <s v="Male"/>
    <s v="Bachelor's Degree"/>
    <x v="2"/>
    <s v="Less than 1 year"/>
    <n v="1"/>
    <n v="2"/>
    <n v="1"/>
    <n v="2"/>
    <n v="1"/>
    <n v="2"/>
    <n v="1"/>
    <n v="2"/>
    <n v="1"/>
    <n v="2"/>
    <n v="1"/>
    <n v="2"/>
    <n v="1"/>
    <n v="1"/>
    <n v="2"/>
    <n v="1"/>
    <n v="2"/>
    <n v="2"/>
    <n v="1"/>
    <n v="2"/>
    <n v="1"/>
    <n v="2"/>
    <n v="1"/>
    <n v="1"/>
    <n v="1"/>
    <n v="1"/>
    <n v="2"/>
    <n v="1"/>
    <n v="1"/>
    <n v="2"/>
    <n v="1"/>
    <n v="2"/>
    <n v="1"/>
    <n v="2"/>
    <x v="11"/>
    <x v="94"/>
  </r>
  <r>
    <n v="28"/>
    <s v="45 - 54"/>
    <s v="Male"/>
    <s v="Bachelor's Degree"/>
    <x v="2"/>
    <s v="Less than 1 year"/>
    <n v="1"/>
    <n v="2"/>
    <n v="1"/>
    <n v="2"/>
    <n v="1"/>
    <n v="2"/>
    <n v="1"/>
    <n v="2"/>
    <n v="1"/>
    <n v="2"/>
    <n v="1"/>
    <n v="2"/>
    <n v="1"/>
    <n v="1"/>
    <n v="2"/>
    <n v="1"/>
    <n v="2"/>
    <n v="2"/>
    <n v="1"/>
    <n v="2"/>
    <n v="1"/>
    <n v="2"/>
    <n v="1"/>
    <n v="1"/>
    <n v="1"/>
    <n v="1"/>
    <n v="2"/>
    <n v="1"/>
    <n v="1"/>
    <n v="2"/>
    <n v="1"/>
    <n v="2"/>
    <n v="1"/>
    <n v="2"/>
    <x v="12"/>
    <x v="12"/>
  </r>
  <r>
    <n v="28"/>
    <s v="45 - 54"/>
    <s v="Male"/>
    <s v="Bachelor's Degree"/>
    <x v="2"/>
    <s v="Less than 1 year"/>
    <n v="1"/>
    <n v="2"/>
    <n v="1"/>
    <n v="2"/>
    <n v="1"/>
    <n v="2"/>
    <n v="1"/>
    <n v="2"/>
    <n v="1"/>
    <n v="2"/>
    <n v="1"/>
    <n v="2"/>
    <n v="1"/>
    <n v="1"/>
    <n v="2"/>
    <n v="1"/>
    <n v="2"/>
    <n v="2"/>
    <n v="1"/>
    <n v="2"/>
    <n v="1"/>
    <n v="2"/>
    <n v="1"/>
    <n v="1"/>
    <n v="1"/>
    <n v="1"/>
    <n v="2"/>
    <n v="1"/>
    <n v="1"/>
    <n v="2"/>
    <n v="1"/>
    <n v="2"/>
    <n v="1"/>
    <n v="2"/>
    <x v="13"/>
    <x v="72"/>
  </r>
  <r>
    <n v="29"/>
    <s v="25 - 34"/>
    <s v="Female"/>
    <s v="Associate's Degree/Diploma"/>
    <x v="1"/>
    <s v="3-5 years"/>
    <n v="1"/>
    <n v="2"/>
    <n v="1"/>
    <n v="2"/>
    <n v="1"/>
    <n v="2"/>
    <n v="1"/>
    <n v="2"/>
    <n v="1"/>
    <n v="2"/>
    <n v="1"/>
    <n v="1"/>
    <n v="1"/>
    <n v="1"/>
    <n v="2"/>
    <n v="1"/>
    <n v="2"/>
    <n v="2"/>
    <n v="1"/>
    <n v="2"/>
    <n v="1"/>
    <n v="1"/>
    <n v="2"/>
    <n v="2"/>
    <n v="1"/>
    <n v="1"/>
    <n v="2"/>
    <n v="1"/>
    <n v="2"/>
    <n v="2"/>
    <n v="1"/>
    <n v="2"/>
    <n v="1"/>
    <n v="2"/>
    <x v="0"/>
    <x v="44"/>
  </r>
  <r>
    <n v="29"/>
    <s v="25 - 34"/>
    <s v="Female"/>
    <s v="Associate's Degree/Diploma"/>
    <x v="1"/>
    <s v="3-5 years"/>
    <n v="1"/>
    <n v="2"/>
    <n v="1"/>
    <n v="2"/>
    <n v="1"/>
    <n v="2"/>
    <n v="1"/>
    <n v="2"/>
    <n v="1"/>
    <n v="2"/>
    <n v="1"/>
    <n v="1"/>
    <n v="1"/>
    <n v="1"/>
    <n v="2"/>
    <n v="1"/>
    <n v="2"/>
    <n v="2"/>
    <n v="1"/>
    <n v="2"/>
    <n v="1"/>
    <n v="1"/>
    <n v="2"/>
    <n v="2"/>
    <n v="1"/>
    <n v="1"/>
    <n v="2"/>
    <n v="1"/>
    <n v="2"/>
    <n v="2"/>
    <n v="1"/>
    <n v="2"/>
    <n v="1"/>
    <n v="2"/>
    <x v="1"/>
    <x v="1"/>
  </r>
  <r>
    <n v="29"/>
    <s v="25 - 34"/>
    <s v="Female"/>
    <s v="Associate's Degree/Diploma"/>
    <x v="1"/>
    <s v="3-5 years"/>
    <n v="1"/>
    <n v="2"/>
    <n v="1"/>
    <n v="2"/>
    <n v="1"/>
    <n v="2"/>
    <n v="1"/>
    <n v="2"/>
    <n v="1"/>
    <n v="2"/>
    <n v="1"/>
    <n v="1"/>
    <n v="1"/>
    <n v="1"/>
    <n v="2"/>
    <n v="1"/>
    <n v="2"/>
    <n v="2"/>
    <n v="1"/>
    <n v="2"/>
    <n v="1"/>
    <n v="1"/>
    <n v="2"/>
    <n v="2"/>
    <n v="1"/>
    <n v="1"/>
    <n v="2"/>
    <n v="1"/>
    <n v="2"/>
    <n v="2"/>
    <n v="1"/>
    <n v="2"/>
    <n v="1"/>
    <n v="2"/>
    <x v="2"/>
    <x v="2"/>
  </r>
  <r>
    <n v="29"/>
    <s v="25 - 34"/>
    <s v="Female"/>
    <s v="Associate's Degree/Diploma"/>
    <x v="1"/>
    <s v="3-5 years"/>
    <n v="1"/>
    <n v="2"/>
    <n v="1"/>
    <n v="2"/>
    <n v="1"/>
    <n v="2"/>
    <n v="1"/>
    <n v="2"/>
    <n v="1"/>
    <n v="2"/>
    <n v="1"/>
    <n v="1"/>
    <n v="1"/>
    <n v="1"/>
    <n v="2"/>
    <n v="1"/>
    <n v="2"/>
    <n v="2"/>
    <n v="1"/>
    <n v="2"/>
    <n v="1"/>
    <n v="1"/>
    <n v="2"/>
    <n v="2"/>
    <n v="1"/>
    <n v="1"/>
    <n v="2"/>
    <n v="1"/>
    <n v="2"/>
    <n v="2"/>
    <n v="1"/>
    <n v="2"/>
    <n v="1"/>
    <n v="2"/>
    <x v="3"/>
    <x v="3"/>
  </r>
  <r>
    <n v="29"/>
    <s v="25 - 34"/>
    <s v="Female"/>
    <s v="Associate's Degree/Diploma"/>
    <x v="1"/>
    <s v="3-5 years"/>
    <n v="1"/>
    <n v="2"/>
    <n v="1"/>
    <n v="2"/>
    <n v="1"/>
    <n v="2"/>
    <n v="1"/>
    <n v="2"/>
    <n v="1"/>
    <n v="2"/>
    <n v="1"/>
    <n v="1"/>
    <n v="1"/>
    <n v="1"/>
    <n v="2"/>
    <n v="1"/>
    <n v="2"/>
    <n v="2"/>
    <n v="1"/>
    <n v="2"/>
    <n v="1"/>
    <n v="1"/>
    <n v="2"/>
    <n v="2"/>
    <n v="1"/>
    <n v="1"/>
    <n v="2"/>
    <n v="1"/>
    <n v="2"/>
    <n v="2"/>
    <n v="1"/>
    <n v="2"/>
    <n v="1"/>
    <n v="2"/>
    <x v="4"/>
    <x v="23"/>
  </r>
  <r>
    <n v="29"/>
    <s v="25 - 34"/>
    <s v="Female"/>
    <s v="Associate's Degree/Diploma"/>
    <x v="1"/>
    <s v="3-5 years"/>
    <n v="1"/>
    <n v="2"/>
    <n v="1"/>
    <n v="2"/>
    <n v="1"/>
    <n v="2"/>
    <n v="1"/>
    <n v="2"/>
    <n v="1"/>
    <n v="2"/>
    <n v="1"/>
    <n v="1"/>
    <n v="1"/>
    <n v="1"/>
    <n v="2"/>
    <n v="1"/>
    <n v="2"/>
    <n v="2"/>
    <n v="1"/>
    <n v="2"/>
    <n v="1"/>
    <n v="1"/>
    <n v="2"/>
    <n v="2"/>
    <n v="1"/>
    <n v="1"/>
    <n v="2"/>
    <n v="1"/>
    <n v="2"/>
    <n v="2"/>
    <n v="1"/>
    <n v="2"/>
    <n v="1"/>
    <n v="2"/>
    <x v="5"/>
    <x v="24"/>
  </r>
  <r>
    <n v="29"/>
    <s v="25 - 34"/>
    <s v="Female"/>
    <s v="Associate's Degree/Diploma"/>
    <x v="1"/>
    <s v="3-5 years"/>
    <n v="1"/>
    <n v="2"/>
    <n v="1"/>
    <n v="2"/>
    <n v="1"/>
    <n v="2"/>
    <n v="1"/>
    <n v="2"/>
    <n v="1"/>
    <n v="2"/>
    <n v="1"/>
    <n v="1"/>
    <n v="1"/>
    <n v="1"/>
    <n v="2"/>
    <n v="1"/>
    <n v="2"/>
    <n v="2"/>
    <n v="1"/>
    <n v="2"/>
    <n v="1"/>
    <n v="1"/>
    <n v="2"/>
    <n v="2"/>
    <n v="1"/>
    <n v="1"/>
    <n v="2"/>
    <n v="1"/>
    <n v="2"/>
    <n v="2"/>
    <n v="1"/>
    <n v="2"/>
    <n v="1"/>
    <n v="2"/>
    <x v="6"/>
    <x v="34"/>
  </r>
  <r>
    <n v="29"/>
    <s v="25 - 34"/>
    <s v="Female"/>
    <s v="Associate's Degree/Diploma"/>
    <x v="1"/>
    <s v="3-5 years"/>
    <n v="1"/>
    <n v="2"/>
    <n v="1"/>
    <n v="2"/>
    <n v="1"/>
    <n v="2"/>
    <n v="1"/>
    <n v="2"/>
    <n v="1"/>
    <n v="2"/>
    <n v="1"/>
    <n v="1"/>
    <n v="1"/>
    <n v="1"/>
    <n v="2"/>
    <n v="1"/>
    <n v="2"/>
    <n v="2"/>
    <n v="1"/>
    <n v="2"/>
    <n v="1"/>
    <n v="1"/>
    <n v="2"/>
    <n v="2"/>
    <n v="1"/>
    <n v="1"/>
    <n v="2"/>
    <n v="1"/>
    <n v="2"/>
    <n v="2"/>
    <n v="1"/>
    <n v="2"/>
    <n v="1"/>
    <n v="2"/>
    <x v="7"/>
    <x v="119"/>
  </r>
  <r>
    <n v="29"/>
    <s v="25 - 34"/>
    <s v="Female"/>
    <s v="Associate's Degree/Diploma"/>
    <x v="1"/>
    <s v="3-5 years"/>
    <n v="1"/>
    <n v="2"/>
    <n v="1"/>
    <n v="2"/>
    <n v="1"/>
    <n v="2"/>
    <n v="1"/>
    <n v="2"/>
    <n v="1"/>
    <n v="2"/>
    <n v="1"/>
    <n v="1"/>
    <n v="1"/>
    <n v="1"/>
    <n v="2"/>
    <n v="1"/>
    <n v="2"/>
    <n v="2"/>
    <n v="1"/>
    <n v="2"/>
    <n v="1"/>
    <n v="1"/>
    <n v="2"/>
    <n v="2"/>
    <n v="1"/>
    <n v="1"/>
    <n v="2"/>
    <n v="1"/>
    <n v="2"/>
    <n v="2"/>
    <n v="1"/>
    <n v="2"/>
    <n v="1"/>
    <n v="2"/>
    <x v="8"/>
    <x v="8"/>
  </r>
  <r>
    <n v="29"/>
    <s v="25 - 34"/>
    <s v="Female"/>
    <s v="Associate's Degree/Diploma"/>
    <x v="1"/>
    <s v="3-5 years"/>
    <n v="1"/>
    <n v="2"/>
    <n v="1"/>
    <n v="2"/>
    <n v="1"/>
    <n v="2"/>
    <n v="1"/>
    <n v="2"/>
    <n v="1"/>
    <n v="2"/>
    <n v="1"/>
    <n v="1"/>
    <n v="1"/>
    <n v="1"/>
    <n v="2"/>
    <n v="1"/>
    <n v="2"/>
    <n v="2"/>
    <n v="1"/>
    <n v="2"/>
    <n v="1"/>
    <n v="1"/>
    <n v="2"/>
    <n v="2"/>
    <n v="1"/>
    <n v="1"/>
    <n v="2"/>
    <n v="1"/>
    <n v="2"/>
    <n v="2"/>
    <n v="1"/>
    <n v="2"/>
    <n v="1"/>
    <n v="2"/>
    <x v="9"/>
    <x v="121"/>
  </r>
  <r>
    <n v="29"/>
    <s v="25 - 34"/>
    <s v="Female"/>
    <s v="Associate's Degree/Diploma"/>
    <x v="1"/>
    <s v="3-5 years"/>
    <n v="1"/>
    <n v="2"/>
    <n v="1"/>
    <n v="2"/>
    <n v="1"/>
    <n v="2"/>
    <n v="1"/>
    <n v="2"/>
    <n v="1"/>
    <n v="2"/>
    <n v="1"/>
    <n v="1"/>
    <n v="1"/>
    <n v="1"/>
    <n v="2"/>
    <n v="1"/>
    <n v="2"/>
    <n v="2"/>
    <n v="1"/>
    <n v="2"/>
    <n v="1"/>
    <n v="1"/>
    <n v="2"/>
    <n v="2"/>
    <n v="1"/>
    <n v="1"/>
    <n v="2"/>
    <n v="1"/>
    <n v="2"/>
    <n v="2"/>
    <n v="1"/>
    <n v="2"/>
    <n v="1"/>
    <n v="2"/>
    <x v="10"/>
    <x v="19"/>
  </r>
  <r>
    <n v="29"/>
    <s v="25 - 34"/>
    <s v="Female"/>
    <s v="Associate's Degree/Diploma"/>
    <x v="1"/>
    <s v="3-5 years"/>
    <n v="1"/>
    <n v="2"/>
    <n v="1"/>
    <n v="2"/>
    <n v="1"/>
    <n v="2"/>
    <n v="1"/>
    <n v="2"/>
    <n v="1"/>
    <n v="2"/>
    <n v="1"/>
    <n v="1"/>
    <n v="1"/>
    <n v="1"/>
    <n v="2"/>
    <n v="1"/>
    <n v="2"/>
    <n v="2"/>
    <n v="1"/>
    <n v="2"/>
    <n v="1"/>
    <n v="1"/>
    <n v="2"/>
    <n v="2"/>
    <n v="1"/>
    <n v="1"/>
    <n v="2"/>
    <n v="1"/>
    <n v="2"/>
    <n v="2"/>
    <n v="1"/>
    <n v="2"/>
    <n v="1"/>
    <n v="2"/>
    <x v="11"/>
    <x v="57"/>
  </r>
  <r>
    <n v="29"/>
    <s v="25 - 34"/>
    <s v="Female"/>
    <s v="Associate's Degree/Diploma"/>
    <x v="1"/>
    <s v="3-5 years"/>
    <n v="1"/>
    <n v="2"/>
    <n v="1"/>
    <n v="2"/>
    <n v="1"/>
    <n v="2"/>
    <n v="1"/>
    <n v="2"/>
    <n v="1"/>
    <n v="2"/>
    <n v="1"/>
    <n v="1"/>
    <n v="1"/>
    <n v="1"/>
    <n v="2"/>
    <n v="1"/>
    <n v="2"/>
    <n v="2"/>
    <n v="1"/>
    <n v="2"/>
    <n v="1"/>
    <n v="1"/>
    <n v="2"/>
    <n v="2"/>
    <n v="1"/>
    <n v="1"/>
    <n v="2"/>
    <n v="1"/>
    <n v="2"/>
    <n v="2"/>
    <n v="1"/>
    <n v="2"/>
    <n v="1"/>
    <n v="2"/>
    <x v="12"/>
    <x v="12"/>
  </r>
  <r>
    <n v="29"/>
    <s v="25 - 34"/>
    <s v="Female"/>
    <s v="Associate's Degree/Diploma"/>
    <x v="1"/>
    <s v="3-5 years"/>
    <n v="1"/>
    <n v="2"/>
    <n v="1"/>
    <n v="2"/>
    <n v="1"/>
    <n v="2"/>
    <n v="1"/>
    <n v="2"/>
    <n v="1"/>
    <n v="2"/>
    <n v="1"/>
    <n v="1"/>
    <n v="1"/>
    <n v="1"/>
    <n v="2"/>
    <n v="1"/>
    <n v="2"/>
    <n v="2"/>
    <n v="1"/>
    <n v="2"/>
    <n v="1"/>
    <n v="1"/>
    <n v="2"/>
    <n v="2"/>
    <n v="1"/>
    <n v="1"/>
    <n v="2"/>
    <n v="1"/>
    <n v="2"/>
    <n v="2"/>
    <n v="1"/>
    <n v="2"/>
    <n v="1"/>
    <n v="2"/>
    <x v="13"/>
    <x v="20"/>
  </r>
  <r>
    <n v="30"/>
    <s v="18 - 24"/>
    <s v="Male"/>
    <s v="Associate's Degree/Diploma"/>
    <x v="2"/>
    <s v="1-3 years"/>
    <n v="5"/>
    <n v="4"/>
    <n v="5"/>
    <n v="5"/>
    <n v="6"/>
    <n v="6"/>
    <n v="7"/>
    <n v="7"/>
    <n v="7"/>
    <n v="6"/>
    <n v="7"/>
    <n v="7"/>
    <n v="3"/>
    <n v="3"/>
    <n v="3"/>
    <n v="2"/>
    <n v="3"/>
    <n v="5"/>
    <n v="5"/>
    <n v="5"/>
    <n v="5"/>
    <n v="5"/>
    <n v="5"/>
    <n v="5"/>
    <n v="1"/>
    <n v="1"/>
    <n v="1"/>
    <n v="1"/>
    <n v="1"/>
    <n v="1"/>
    <n v="1"/>
    <n v="1"/>
    <n v="1"/>
    <n v="1"/>
    <x v="0"/>
    <x v="0"/>
  </r>
  <r>
    <n v="30"/>
    <s v="18 - 24"/>
    <s v="Male"/>
    <s v="Associate's Degree/Diploma"/>
    <x v="2"/>
    <s v="1-3 years"/>
    <n v="5"/>
    <n v="4"/>
    <n v="5"/>
    <n v="5"/>
    <n v="6"/>
    <n v="6"/>
    <n v="7"/>
    <n v="7"/>
    <n v="7"/>
    <n v="6"/>
    <n v="7"/>
    <n v="7"/>
    <n v="3"/>
    <n v="3"/>
    <n v="3"/>
    <n v="2"/>
    <n v="3"/>
    <n v="5"/>
    <n v="5"/>
    <n v="5"/>
    <n v="5"/>
    <n v="5"/>
    <n v="5"/>
    <n v="5"/>
    <n v="1"/>
    <n v="1"/>
    <n v="1"/>
    <n v="1"/>
    <n v="1"/>
    <n v="1"/>
    <n v="1"/>
    <n v="1"/>
    <n v="1"/>
    <n v="1"/>
    <x v="1"/>
    <x v="1"/>
  </r>
  <r>
    <n v="30"/>
    <s v="18 - 24"/>
    <s v="Male"/>
    <s v="Associate's Degree/Diploma"/>
    <x v="2"/>
    <s v="1-3 years"/>
    <n v="5"/>
    <n v="4"/>
    <n v="5"/>
    <n v="5"/>
    <n v="6"/>
    <n v="6"/>
    <n v="7"/>
    <n v="7"/>
    <n v="7"/>
    <n v="6"/>
    <n v="7"/>
    <n v="7"/>
    <n v="3"/>
    <n v="3"/>
    <n v="3"/>
    <n v="2"/>
    <n v="3"/>
    <n v="5"/>
    <n v="5"/>
    <n v="5"/>
    <n v="5"/>
    <n v="5"/>
    <n v="5"/>
    <n v="5"/>
    <n v="1"/>
    <n v="1"/>
    <n v="1"/>
    <n v="1"/>
    <n v="1"/>
    <n v="1"/>
    <n v="1"/>
    <n v="1"/>
    <n v="1"/>
    <n v="1"/>
    <x v="2"/>
    <x v="31"/>
  </r>
  <r>
    <n v="30"/>
    <s v="18 - 24"/>
    <s v="Male"/>
    <s v="Associate's Degree/Diploma"/>
    <x v="2"/>
    <s v="1-3 years"/>
    <n v="5"/>
    <n v="4"/>
    <n v="5"/>
    <n v="5"/>
    <n v="6"/>
    <n v="6"/>
    <n v="7"/>
    <n v="7"/>
    <n v="7"/>
    <n v="6"/>
    <n v="7"/>
    <n v="7"/>
    <n v="3"/>
    <n v="3"/>
    <n v="3"/>
    <n v="2"/>
    <n v="3"/>
    <n v="5"/>
    <n v="5"/>
    <n v="5"/>
    <n v="5"/>
    <n v="5"/>
    <n v="5"/>
    <n v="5"/>
    <n v="1"/>
    <n v="1"/>
    <n v="1"/>
    <n v="1"/>
    <n v="1"/>
    <n v="1"/>
    <n v="1"/>
    <n v="1"/>
    <n v="1"/>
    <n v="1"/>
    <x v="3"/>
    <x v="3"/>
  </r>
  <r>
    <n v="30"/>
    <s v="18 - 24"/>
    <s v="Male"/>
    <s v="Associate's Degree/Diploma"/>
    <x v="2"/>
    <s v="1-3 years"/>
    <n v="5"/>
    <n v="4"/>
    <n v="5"/>
    <n v="5"/>
    <n v="6"/>
    <n v="6"/>
    <n v="7"/>
    <n v="7"/>
    <n v="7"/>
    <n v="6"/>
    <n v="7"/>
    <n v="7"/>
    <n v="3"/>
    <n v="3"/>
    <n v="3"/>
    <n v="2"/>
    <n v="3"/>
    <n v="5"/>
    <n v="5"/>
    <n v="5"/>
    <n v="5"/>
    <n v="5"/>
    <n v="5"/>
    <n v="5"/>
    <n v="1"/>
    <n v="1"/>
    <n v="1"/>
    <n v="1"/>
    <n v="1"/>
    <n v="1"/>
    <n v="1"/>
    <n v="1"/>
    <n v="1"/>
    <n v="1"/>
    <x v="4"/>
    <x v="23"/>
  </r>
  <r>
    <n v="30"/>
    <s v="18 - 24"/>
    <s v="Male"/>
    <s v="Associate's Degree/Diploma"/>
    <x v="2"/>
    <s v="1-3 years"/>
    <n v="5"/>
    <n v="4"/>
    <n v="5"/>
    <n v="5"/>
    <n v="6"/>
    <n v="6"/>
    <n v="7"/>
    <n v="7"/>
    <n v="7"/>
    <n v="6"/>
    <n v="7"/>
    <n v="7"/>
    <n v="3"/>
    <n v="3"/>
    <n v="3"/>
    <n v="2"/>
    <n v="3"/>
    <n v="5"/>
    <n v="5"/>
    <n v="5"/>
    <n v="5"/>
    <n v="5"/>
    <n v="5"/>
    <n v="5"/>
    <n v="1"/>
    <n v="1"/>
    <n v="1"/>
    <n v="1"/>
    <n v="1"/>
    <n v="1"/>
    <n v="1"/>
    <n v="1"/>
    <n v="1"/>
    <n v="1"/>
    <x v="5"/>
    <x v="5"/>
  </r>
  <r>
    <n v="30"/>
    <s v="18 - 24"/>
    <s v="Male"/>
    <s v="Associate's Degree/Diploma"/>
    <x v="2"/>
    <s v="1-3 years"/>
    <n v="5"/>
    <n v="4"/>
    <n v="5"/>
    <n v="5"/>
    <n v="6"/>
    <n v="6"/>
    <n v="7"/>
    <n v="7"/>
    <n v="7"/>
    <n v="6"/>
    <n v="7"/>
    <n v="7"/>
    <n v="3"/>
    <n v="3"/>
    <n v="3"/>
    <n v="2"/>
    <n v="3"/>
    <n v="5"/>
    <n v="5"/>
    <n v="5"/>
    <n v="5"/>
    <n v="5"/>
    <n v="5"/>
    <n v="5"/>
    <n v="1"/>
    <n v="1"/>
    <n v="1"/>
    <n v="1"/>
    <n v="1"/>
    <n v="1"/>
    <n v="1"/>
    <n v="1"/>
    <n v="1"/>
    <n v="1"/>
    <x v="6"/>
    <x v="34"/>
  </r>
  <r>
    <n v="30"/>
    <s v="18 - 24"/>
    <s v="Male"/>
    <s v="Associate's Degree/Diploma"/>
    <x v="2"/>
    <s v="1-3 years"/>
    <n v="5"/>
    <n v="4"/>
    <n v="5"/>
    <n v="5"/>
    <n v="6"/>
    <n v="6"/>
    <n v="7"/>
    <n v="7"/>
    <n v="7"/>
    <n v="6"/>
    <n v="7"/>
    <n v="7"/>
    <n v="3"/>
    <n v="3"/>
    <n v="3"/>
    <n v="2"/>
    <n v="3"/>
    <n v="5"/>
    <n v="5"/>
    <n v="5"/>
    <n v="5"/>
    <n v="5"/>
    <n v="5"/>
    <n v="5"/>
    <n v="1"/>
    <n v="1"/>
    <n v="1"/>
    <n v="1"/>
    <n v="1"/>
    <n v="1"/>
    <n v="1"/>
    <n v="1"/>
    <n v="1"/>
    <n v="1"/>
    <x v="7"/>
    <x v="120"/>
  </r>
  <r>
    <n v="30"/>
    <s v="18 - 24"/>
    <s v="Male"/>
    <s v="Associate's Degree/Diploma"/>
    <x v="2"/>
    <s v="1-3 years"/>
    <n v="5"/>
    <n v="4"/>
    <n v="5"/>
    <n v="5"/>
    <n v="6"/>
    <n v="6"/>
    <n v="7"/>
    <n v="7"/>
    <n v="7"/>
    <n v="6"/>
    <n v="7"/>
    <n v="7"/>
    <n v="3"/>
    <n v="3"/>
    <n v="3"/>
    <n v="2"/>
    <n v="3"/>
    <n v="5"/>
    <n v="5"/>
    <n v="5"/>
    <n v="5"/>
    <n v="5"/>
    <n v="5"/>
    <n v="5"/>
    <n v="1"/>
    <n v="1"/>
    <n v="1"/>
    <n v="1"/>
    <n v="1"/>
    <n v="1"/>
    <n v="1"/>
    <n v="1"/>
    <n v="1"/>
    <n v="1"/>
    <x v="8"/>
    <x v="52"/>
  </r>
  <r>
    <n v="30"/>
    <s v="18 - 24"/>
    <s v="Male"/>
    <s v="Associate's Degree/Diploma"/>
    <x v="2"/>
    <s v="1-3 years"/>
    <n v="5"/>
    <n v="4"/>
    <n v="5"/>
    <n v="5"/>
    <n v="6"/>
    <n v="6"/>
    <n v="7"/>
    <n v="7"/>
    <n v="7"/>
    <n v="6"/>
    <n v="7"/>
    <n v="7"/>
    <n v="3"/>
    <n v="3"/>
    <n v="3"/>
    <n v="2"/>
    <n v="3"/>
    <n v="5"/>
    <n v="5"/>
    <n v="5"/>
    <n v="5"/>
    <n v="5"/>
    <n v="5"/>
    <n v="5"/>
    <n v="1"/>
    <n v="1"/>
    <n v="1"/>
    <n v="1"/>
    <n v="1"/>
    <n v="1"/>
    <n v="1"/>
    <n v="1"/>
    <n v="1"/>
    <n v="1"/>
    <x v="9"/>
    <x v="99"/>
  </r>
  <r>
    <n v="30"/>
    <s v="18 - 24"/>
    <s v="Male"/>
    <s v="Associate's Degree/Diploma"/>
    <x v="2"/>
    <s v="1-3 years"/>
    <n v="5"/>
    <n v="4"/>
    <n v="5"/>
    <n v="5"/>
    <n v="6"/>
    <n v="6"/>
    <n v="7"/>
    <n v="7"/>
    <n v="7"/>
    <n v="6"/>
    <n v="7"/>
    <n v="7"/>
    <n v="3"/>
    <n v="3"/>
    <n v="3"/>
    <n v="2"/>
    <n v="3"/>
    <n v="5"/>
    <n v="5"/>
    <n v="5"/>
    <n v="5"/>
    <n v="5"/>
    <n v="5"/>
    <n v="5"/>
    <n v="1"/>
    <n v="1"/>
    <n v="1"/>
    <n v="1"/>
    <n v="1"/>
    <n v="1"/>
    <n v="1"/>
    <n v="1"/>
    <n v="1"/>
    <n v="1"/>
    <x v="10"/>
    <x v="122"/>
  </r>
  <r>
    <n v="30"/>
    <s v="18 - 24"/>
    <s v="Male"/>
    <s v="Associate's Degree/Diploma"/>
    <x v="2"/>
    <s v="1-3 years"/>
    <n v="5"/>
    <n v="4"/>
    <n v="5"/>
    <n v="5"/>
    <n v="6"/>
    <n v="6"/>
    <n v="7"/>
    <n v="7"/>
    <n v="7"/>
    <n v="6"/>
    <n v="7"/>
    <n v="7"/>
    <n v="3"/>
    <n v="3"/>
    <n v="3"/>
    <n v="2"/>
    <n v="3"/>
    <n v="5"/>
    <n v="5"/>
    <n v="5"/>
    <n v="5"/>
    <n v="5"/>
    <n v="5"/>
    <n v="5"/>
    <n v="1"/>
    <n v="1"/>
    <n v="1"/>
    <n v="1"/>
    <n v="1"/>
    <n v="1"/>
    <n v="1"/>
    <n v="1"/>
    <n v="1"/>
    <n v="1"/>
    <x v="11"/>
    <x v="11"/>
  </r>
  <r>
    <n v="30"/>
    <s v="18 - 24"/>
    <s v="Male"/>
    <s v="Associate's Degree/Diploma"/>
    <x v="2"/>
    <s v="1-3 years"/>
    <n v="5"/>
    <n v="4"/>
    <n v="5"/>
    <n v="5"/>
    <n v="6"/>
    <n v="6"/>
    <n v="7"/>
    <n v="7"/>
    <n v="7"/>
    <n v="6"/>
    <n v="7"/>
    <n v="7"/>
    <n v="3"/>
    <n v="3"/>
    <n v="3"/>
    <n v="2"/>
    <n v="3"/>
    <n v="5"/>
    <n v="5"/>
    <n v="5"/>
    <n v="5"/>
    <n v="5"/>
    <n v="5"/>
    <n v="5"/>
    <n v="1"/>
    <n v="1"/>
    <n v="1"/>
    <n v="1"/>
    <n v="1"/>
    <n v="1"/>
    <n v="1"/>
    <n v="1"/>
    <n v="1"/>
    <n v="1"/>
    <x v="12"/>
    <x v="12"/>
  </r>
  <r>
    <n v="30"/>
    <s v="18 - 24"/>
    <s v="Male"/>
    <s v="Associate's Degree/Diploma"/>
    <x v="2"/>
    <s v="1-3 years"/>
    <n v="5"/>
    <n v="4"/>
    <n v="5"/>
    <n v="5"/>
    <n v="6"/>
    <n v="6"/>
    <n v="7"/>
    <n v="7"/>
    <n v="7"/>
    <n v="6"/>
    <n v="7"/>
    <n v="7"/>
    <n v="3"/>
    <n v="3"/>
    <n v="3"/>
    <n v="2"/>
    <n v="3"/>
    <n v="5"/>
    <n v="5"/>
    <n v="5"/>
    <n v="5"/>
    <n v="5"/>
    <n v="5"/>
    <n v="5"/>
    <n v="1"/>
    <n v="1"/>
    <n v="1"/>
    <n v="1"/>
    <n v="1"/>
    <n v="1"/>
    <n v="1"/>
    <n v="1"/>
    <n v="1"/>
    <n v="1"/>
    <x v="13"/>
    <x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A78B88-3723-4C4A-8A9A-F6048D4E3021}" name="PivotTable6" cacheId="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
  <location ref="A57:C67" firstHeaderRow="1" firstDataRow="2" firstDataCol="1" rowPageCount="1" colPageCount="1"/>
  <pivotFields count="54">
    <pivotField showAll="0"/>
    <pivotField axis="axisRow" showAll="0">
      <items count="9">
        <item x="6"/>
        <item x="5"/>
        <item x="1"/>
        <item x="4"/>
        <item x="0"/>
        <item x="7"/>
        <item x="3"/>
        <item x="2"/>
        <item t="default"/>
      </items>
    </pivotField>
    <pivotField axis="axisCol" showAll="0">
      <items count="3">
        <item x="1"/>
        <item x="0"/>
        <item t="default"/>
      </items>
    </pivotField>
    <pivotField name="What is your highest level of education?" axis="axisPage" showAll="0">
      <items count="5">
        <item x="3"/>
        <item x="1"/>
        <item x="2"/>
        <item x="0"/>
        <item t="default"/>
      </items>
    </pivotField>
    <pivotField showAll="0">
      <items count="9">
        <item x="0"/>
        <item x="4"/>
        <item x="3"/>
        <item x="1"/>
        <item x="5"/>
        <item x="6"/>
        <item x="7"/>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1"/>
  </rowFields>
  <rowItems count="9">
    <i>
      <x/>
    </i>
    <i>
      <x v="1"/>
    </i>
    <i>
      <x v="2"/>
    </i>
    <i>
      <x v="3"/>
    </i>
    <i>
      <x v="4"/>
    </i>
    <i>
      <x v="5"/>
    </i>
    <i>
      <x v="6"/>
    </i>
    <i>
      <x v="7"/>
    </i>
    <i t="grand">
      <x/>
    </i>
  </rowItems>
  <colFields count="1">
    <field x="2"/>
  </colFields>
  <colItems count="2">
    <i>
      <x/>
    </i>
    <i>
      <x v="1"/>
    </i>
  </colItems>
  <pageFields count="1">
    <pageField fld="3" hier="-1"/>
  </pageFields>
  <dataFields count="1">
    <dataField name="Sum of Rate the following challenges in terms of their significance to your marketing efforts (1 = Most Significant, 5 = Least Significant): [Limited marketing budget]" fld="44" baseField="0" baseItem="0"/>
  </dataFields>
  <formats count="24">
    <format dxfId="122">
      <pivotArea type="origin" dataOnly="0" labelOnly="1" outline="0" fieldPosition="0"/>
    </format>
    <format dxfId="121">
      <pivotArea field="3" type="button" dataOnly="0" labelOnly="1" outline="0" axis="axisPage" fieldPosition="0"/>
    </format>
    <format dxfId="120">
      <pivotArea field="2" type="button" dataOnly="0" labelOnly="1" outline="0" axis="axisCol" fieldPosition="0"/>
    </format>
    <format dxfId="119">
      <pivotArea field="3" type="button" dataOnly="0" labelOnly="1" outline="0" axis="axisPage" fieldPosition="0"/>
    </format>
    <format dxfId="118">
      <pivotArea field="3" type="button" dataOnly="0" labelOnly="1" outline="0" axis="axisPage" fieldPosition="0"/>
    </format>
    <format dxfId="117">
      <pivotArea field="3" type="button" dataOnly="0" labelOnly="1" outline="0" axis="axisPage" fieldPosition="0"/>
    </format>
    <format dxfId="116">
      <pivotArea type="all" dataOnly="0" outline="0" fieldPosition="0"/>
    </format>
    <format dxfId="115">
      <pivotArea outline="0" collapsedLevelsAreSubtotals="1" fieldPosition="0"/>
    </format>
    <format dxfId="114">
      <pivotArea type="origin" dataOnly="0" labelOnly="1" outline="0" fieldPosition="0"/>
    </format>
    <format dxfId="113">
      <pivotArea field="2" type="button" dataOnly="0" labelOnly="1" outline="0" axis="axisCol" fieldPosition="0"/>
    </format>
    <format dxfId="112">
      <pivotArea type="topRight" dataOnly="0" labelOnly="1" outline="0" fieldPosition="0"/>
    </format>
    <format dxfId="111">
      <pivotArea field="1" type="button" dataOnly="0" labelOnly="1" outline="0" axis="axisRow" fieldPosition="0"/>
    </format>
    <format dxfId="110">
      <pivotArea dataOnly="0" labelOnly="1" fieldPosition="0">
        <references count="1">
          <reference field="1" count="0"/>
        </references>
      </pivotArea>
    </format>
    <format dxfId="109">
      <pivotArea dataOnly="0" labelOnly="1" grandRow="1" outline="0" fieldPosition="0"/>
    </format>
    <format dxfId="108">
      <pivotArea dataOnly="0" labelOnly="1" fieldPosition="0">
        <references count="1">
          <reference field="2" count="0"/>
        </references>
      </pivotArea>
    </format>
    <format dxfId="107">
      <pivotArea field="3" type="button" dataOnly="0" labelOnly="1" outline="0" axis="axisPage" fieldPosition="0"/>
    </format>
    <format dxfId="106">
      <pivotArea type="origin" dataOnly="0" labelOnly="1" outline="0" fieldPosition="0"/>
    </format>
    <format dxfId="105">
      <pivotArea type="all" dataOnly="0" outline="0" fieldPosition="0"/>
    </format>
    <format dxfId="104">
      <pivotArea dataOnly="0" labelOnly="1" fieldPosition="0">
        <references count="1">
          <reference field="1" count="0"/>
        </references>
      </pivotArea>
    </format>
    <format dxfId="103">
      <pivotArea outline="0" collapsedLevelsAreSubtotals="1" fieldPosition="0"/>
    </format>
    <format dxfId="102">
      <pivotArea field="1" type="button" dataOnly="0" labelOnly="1" outline="0" axis="axisRow" fieldPosition="0"/>
    </format>
    <format dxfId="101">
      <pivotArea dataOnly="0" labelOnly="1" fieldPosition="0">
        <references count="1">
          <reference field="1" count="0"/>
        </references>
      </pivotArea>
    </format>
    <format dxfId="100">
      <pivotArea dataOnly="0" labelOnly="1" grandRow="1" outline="0" fieldPosition="0"/>
    </format>
    <format dxfId="99">
      <pivotArea dataOnly="0" labelOnly="1" fieldPosition="0">
        <references count="1">
          <reference field="2" count="0"/>
        </references>
      </pivotArea>
    </format>
  </formats>
  <chartFormats count="3">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84129B-1D36-4E88-BDB2-62E907F78DB8}"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6:F46" firstHeaderRow="1" firstDataRow="2" firstDataCol="1"/>
  <pivotFields count="54">
    <pivotField showAll="0"/>
    <pivotField showAll="0"/>
    <pivotField showAll="0"/>
    <pivotField showAll="0"/>
    <pivotField axis="axisRow" showAll="0">
      <items count="9">
        <item x="0"/>
        <item x="4"/>
        <item x="3"/>
        <item x="1"/>
        <item x="5"/>
        <item x="6"/>
        <item x="7"/>
        <item x="2"/>
        <item t="default"/>
      </items>
    </pivotField>
    <pivotField showAll="0"/>
    <pivotField showAll="0"/>
    <pivotField showAll="0"/>
    <pivotField showAll="0"/>
    <pivotField dataField="1" showAll="0">
      <items count="5">
        <item x="0"/>
        <item x="3"/>
        <item x="2"/>
        <item x="1"/>
        <item t="default"/>
      </items>
    </pivotField>
    <pivotField axis="axisCol"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9">
    <i>
      <x/>
    </i>
    <i>
      <x v="1"/>
    </i>
    <i>
      <x v="2"/>
    </i>
    <i>
      <x v="3"/>
    </i>
    <i>
      <x v="4"/>
    </i>
    <i>
      <x v="5"/>
    </i>
    <i>
      <x v="6"/>
    </i>
    <i>
      <x v="7"/>
    </i>
    <i t="grand">
      <x/>
    </i>
  </rowItems>
  <colFields count="1">
    <field x="10"/>
  </colFields>
  <colItems count="5">
    <i>
      <x/>
    </i>
    <i>
      <x v="1"/>
    </i>
    <i>
      <x v="2"/>
    </i>
    <i>
      <x v="3"/>
    </i>
    <i t="grand">
      <x/>
    </i>
  </colItems>
  <dataFields count="1">
    <dataField name="Count of: How frequently is the product upgraded technologically?" fld="9" subtotal="count" baseField="0" baseItem="0"/>
  </dataFields>
  <formats count="16">
    <format dxfId="138">
      <pivotArea type="origin" dataOnly="0" labelOnly="1" outline="0" fieldPosition="0"/>
    </format>
    <format dxfId="137">
      <pivotArea field="10" type="button" dataOnly="0" labelOnly="1" outline="0" axis="axisCol" fieldPosition="0"/>
    </format>
    <format dxfId="136">
      <pivotArea type="all" dataOnly="0" outline="0" fieldPosition="0"/>
    </format>
    <format dxfId="135">
      <pivotArea outline="0" collapsedLevelsAreSubtotals="1" fieldPosition="0"/>
    </format>
    <format dxfId="134">
      <pivotArea type="origin" dataOnly="0" labelOnly="1" outline="0" fieldPosition="0"/>
    </format>
    <format dxfId="133">
      <pivotArea field="10" type="button" dataOnly="0" labelOnly="1" outline="0" axis="axisCol" fieldPosition="0"/>
    </format>
    <format dxfId="132">
      <pivotArea type="topRight" dataOnly="0" labelOnly="1" outline="0" fieldPosition="0"/>
    </format>
    <format dxfId="131">
      <pivotArea field="4" type="button" dataOnly="0" labelOnly="1" outline="0" axis="axisRow" fieldPosition="0"/>
    </format>
    <format dxfId="130">
      <pivotArea dataOnly="0" labelOnly="1" fieldPosition="0">
        <references count="1">
          <reference field="4" count="0"/>
        </references>
      </pivotArea>
    </format>
    <format dxfId="129">
      <pivotArea dataOnly="0" labelOnly="1" grandRow="1" outline="0" fieldPosition="0"/>
    </format>
    <format dxfId="128">
      <pivotArea dataOnly="0" labelOnly="1" fieldPosition="0">
        <references count="1">
          <reference field="10" count="0"/>
        </references>
      </pivotArea>
    </format>
    <format dxfId="127">
      <pivotArea dataOnly="0" labelOnly="1" grandCol="1" outline="0" fieldPosition="0"/>
    </format>
    <format dxfId="126">
      <pivotArea field="10" type="button" dataOnly="0" labelOnly="1" outline="0" axis="axisCol" fieldPosition="0"/>
    </format>
    <format dxfId="125">
      <pivotArea type="origin" dataOnly="0" labelOnly="1" outline="0" fieldPosition="0"/>
    </format>
    <format dxfId="124">
      <pivotArea field="10" type="button" dataOnly="0" labelOnly="1" outline="0" axis="axisCol" fieldPosition="0"/>
    </format>
    <format dxfId="123">
      <pivotArea type="origin" dataOnly="0" labelOnly="1" outline="0" fieldPosition="0"/>
    </format>
  </format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06E7D0-BEC9-47BE-BD15-6689F27662B5}"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21:E27" firstHeaderRow="1" firstDataRow="2" firstDataCol="1" rowPageCount="1" colPageCount="1"/>
  <pivotFields count="54">
    <pivotField showAll="0"/>
    <pivotField showAll="0"/>
    <pivotField showAll="0"/>
    <pivotField showAll="0"/>
    <pivotField name="What is the primary industry of your technopreneurial venture?" axis="axisPage" showAll="0">
      <items count="9">
        <item x="0"/>
        <item x="4"/>
        <item x="3"/>
        <item x="1"/>
        <item x="5"/>
        <item x="6"/>
        <item x="7"/>
        <item x="2"/>
        <item t="default"/>
      </items>
    </pivotField>
    <pivotField axis="axisCol" showAll="0">
      <items count="5">
        <item x="2"/>
        <item x="0"/>
        <item x="3"/>
        <item x="1"/>
        <item t="default"/>
      </items>
    </pivotField>
    <pivotField showAll="0"/>
    <pivotField showAll="0"/>
    <pivotField showAll="0"/>
    <pivotField showAll="0"/>
    <pivotField showAll="0"/>
    <pivotField showAll="0"/>
    <pivotField dataField="1" showAll="0"/>
    <pivotField showAll="0"/>
    <pivotField showAll="0"/>
    <pivotField showAll="0"/>
    <pivotField axis="axisRow" showAll="0">
      <items count="6">
        <item x="3"/>
        <item x="2"/>
        <item x="0"/>
        <item x="4"/>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5">
    <i>
      <x/>
    </i>
    <i>
      <x v="1"/>
    </i>
    <i>
      <x v="2"/>
    </i>
    <i>
      <x v="3"/>
    </i>
    <i>
      <x v="4"/>
    </i>
  </rowItems>
  <colFields count="1">
    <field x="5"/>
  </colFields>
  <colItems count="4">
    <i>
      <x/>
    </i>
    <i>
      <x v="1"/>
    </i>
    <i>
      <x v="2"/>
    </i>
    <i>
      <x v="3"/>
    </i>
  </colItems>
  <pageFields count="1">
    <pageField fld="4" hier="-1"/>
  </pageFields>
  <dataFields count="1">
    <dataField name="Average of Importance Scale – Rate the importance of the following for product development success:" fld="12" subtotal="average" baseField="16" baseItem="2" numFmtId="2"/>
  </dataFields>
  <formats count="22">
    <format dxfId="160">
      <pivotArea type="origin" dataOnly="0" labelOnly="1" outline="0" fieldPosition="0"/>
    </format>
    <format dxfId="159">
      <pivotArea dataOnly="0" labelOnly="1" fieldPosition="0">
        <references count="1">
          <reference field="5" count="1">
            <x v="0"/>
          </reference>
        </references>
      </pivotArea>
    </format>
    <format dxfId="158">
      <pivotArea outline="0" fieldPosition="0">
        <references count="1">
          <reference field="4294967294" count="1">
            <x v="0"/>
          </reference>
        </references>
      </pivotArea>
    </format>
    <format dxfId="157">
      <pivotArea field="4" type="button" dataOnly="0" labelOnly="1" outline="0" axis="axisPage" fieldPosition="0"/>
    </format>
    <format dxfId="156">
      <pivotArea field="5" type="button" dataOnly="0" labelOnly="1" outline="0" axis="axisCol" fieldPosition="0"/>
    </format>
    <format dxfId="155">
      <pivotArea field="4" type="button" dataOnly="0" labelOnly="1" outline="0" axis="axisPage" fieldPosition="0"/>
    </format>
    <format dxfId="154">
      <pivotArea dataOnly="0" labelOnly="1" fieldPosition="0">
        <references count="1">
          <reference field="16" count="0"/>
        </references>
      </pivotArea>
    </format>
    <format dxfId="153">
      <pivotArea dataOnly="0" labelOnly="1" fieldPosition="0">
        <references count="1">
          <reference field="16" count="0"/>
        </references>
      </pivotArea>
    </format>
    <format dxfId="152">
      <pivotArea type="all" dataOnly="0" outline="0" fieldPosition="0"/>
    </format>
    <format dxfId="151">
      <pivotArea outline="0" collapsedLevelsAreSubtotals="1" fieldPosition="0"/>
    </format>
    <format dxfId="150">
      <pivotArea type="origin" dataOnly="0" labelOnly="1" outline="0" fieldPosition="0"/>
    </format>
    <format dxfId="149">
      <pivotArea field="5" type="button" dataOnly="0" labelOnly="1" outline="0" axis="axisCol" fieldPosition="0"/>
    </format>
    <format dxfId="148">
      <pivotArea type="topRight" dataOnly="0" labelOnly="1" outline="0" fieldPosition="0"/>
    </format>
    <format dxfId="147">
      <pivotArea field="16" type="button" dataOnly="0" labelOnly="1" outline="0" axis="axisRow" fieldPosition="0"/>
    </format>
    <format dxfId="146">
      <pivotArea dataOnly="0" labelOnly="1" fieldPosition="0">
        <references count="1">
          <reference field="16" count="0"/>
        </references>
      </pivotArea>
    </format>
    <format dxfId="145">
      <pivotArea dataOnly="0" labelOnly="1" fieldPosition="0">
        <references count="1">
          <reference field="5" count="0"/>
        </references>
      </pivotArea>
    </format>
    <format dxfId="144">
      <pivotArea field="4" type="button" dataOnly="0" labelOnly="1" outline="0" axis="axisPage" fieldPosition="0"/>
    </format>
    <format dxfId="143">
      <pivotArea field="4" type="button" dataOnly="0" labelOnly="1" outline="0" axis="axisPage" fieldPosition="0"/>
    </format>
    <format dxfId="142">
      <pivotArea type="origin" dataOnly="0" labelOnly="1" outline="0" fieldPosition="0"/>
    </format>
    <format dxfId="141">
      <pivotArea field="4" type="button" dataOnly="0" labelOnly="1" outline="0" axis="axisPage" fieldPosition="0"/>
    </format>
    <format dxfId="140">
      <pivotArea type="origin" dataOnly="0" labelOnly="1" outline="0" fieldPosition="0"/>
    </format>
    <format dxfId="139">
      <pivotArea field="5" type="button" dataOnly="0" labelOnly="1" outline="0" axis="axisCol" fieldPosition="0"/>
    </format>
  </formats>
  <chartFormats count="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77537B-941C-437A-B045-0E495A11ED89}"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3:E12" firstHeaderRow="1" firstDataRow="2" firstDataCol="1" rowPageCount="1" colPageCount="1"/>
  <pivotFields count="54">
    <pivotField showAll="0"/>
    <pivotField showAll="0"/>
    <pivotField showAll="0"/>
    <pivotField showAll="0"/>
    <pivotField axis="axisRow" showAll="0">
      <items count="9">
        <item x="0"/>
        <item x="4"/>
        <item x="3"/>
        <item x="1"/>
        <item x="5"/>
        <item x="6"/>
        <item x="7"/>
        <item x="2"/>
        <item t="default"/>
      </items>
    </pivotField>
    <pivotField name="How long has your technopreneurial venture been in operation?" axis="axisPage" showAll="0">
      <items count="5">
        <item x="2"/>
        <item x="0"/>
        <item x="3"/>
        <item x="1"/>
        <item t="default"/>
      </items>
    </pivotField>
    <pivotField axis="axisCol" showAll="0">
      <items count="5">
        <item x="0"/>
        <item x="3"/>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8">
    <i>
      <x/>
    </i>
    <i>
      <x v="1"/>
    </i>
    <i>
      <x v="2"/>
    </i>
    <i>
      <x v="3"/>
    </i>
    <i>
      <x v="4"/>
    </i>
    <i>
      <x v="5"/>
    </i>
    <i>
      <x v="6"/>
    </i>
    <i>
      <x v="7"/>
    </i>
  </rowItems>
  <colFields count="1">
    <field x="6"/>
  </colFields>
  <colItems count="4">
    <i>
      <x/>
    </i>
    <i>
      <x v="1"/>
    </i>
    <i>
      <x v="2"/>
    </i>
    <i>
      <x v="3"/>
    </i>
  </colItems>
  <pageFields count="1">
    <pageField fld="5" hier="-1"/>
  </pageFields>
  <dataFields count="1">
    <dataField name="Average of Importance Scale – Rate the importance of the following for product development success:" fld="12" subtotal="average" baseField="4" baseItem="7" numFmtId="2"/>
  </dataFields>
  <formats count="16">
    <format dxfId="176">
      <pivotArea type="origin" dataOnly="0" labelOnly="1" outline="0" fieldPosition="0"/>
    </format>
    <format dxfId="175">
      <pivotArea dataOnly="0" labelOnly="1" fieldPosition="0">
        <references count="1">
          <reference field="6" count="1">
            <x v="0"/>
          </reference>
        </references>
      </pivotArea>
    </format>
    <format dxfId="174">
      <pivotArea dataOnly="0" labelOnly="1" fieldPosition="0">
        <references count="1">
          <reference field="6" count="1">
            <x v="1"/>
          </reference>
        </references>
      </pivotArea>
    </format>
    <format dxfId="173">
      <pivotArea dataOnly="0" labelOnly="1" fieldPosition="0">
        <references count="1">
          <reference field="6" count="1">
            <x v="2"/>
          </reference>
        </references>
      </pivotArea>
    </format>
    <format dxfId="172">
      <pivotArea dataOnly="0" labelOnly="1" fieldPosition="0">
        <references count="1">
          <reference field="6" count="1">
            <x v="3"/>
          </reference>
        </references>
      </pivotArea>
    </format>
    <format dxfId="171">
      <pivotArea outline="0" fieldPosition="0">
        <references count="1">
          <reference field="4294967294" count="1">
            <x v="0"/>
          </reference>
        </references>
      </pivotArea>
    </format>
    <format dxfId="170">
      <pivotArea field="5" type="button" dataOnly="0" labelOnly="1" outline="0" axis="axisPage" fieldPosition="0"/>
    </format>
    <format dxfId="169">
      <pivotArea field="6" type="button" dataOnly="0" labelOnly="1" outline="0" axis="axisCol" fieldPosition="0"/>
    </format>
    <format dxfId="168">
      <pivotArea field="6" type="button" dataOnly="0" labelOnly="1" outline="0" axis="axisCol" fieldPosition="0"/>
    </format>
    <format dxfId="167">
      <pivotArea dataOnly="0" labelOnly="1" fieldPosition="0">
        <references count="1">
          <reference field="4" count="0"/>
        </references>
      </pivotArea>
    </format>
    <format dxfId="166">
      <pivotArea field="5" type="button" dataOnly="0" labelOnly="1" outline="0" axis="axisPage" fieldPosition="0"/>
    </format>
    <format dxfId="165">
      <pivotArea type="all" dataOnly="0" outline="0" fieldPosition="0"/>
    </format>
    <format dxfId="164">
      <pivotArea type="origin" dataOnly="0" labelOnly="1" outline="0" fieldPosition="0"/>
    </format>
    <format dxfId="163">
      <pivotArea type="origin" dataOnly="0" labelOnly="1" outline="0" fieldPosition="0"/>
    </format>
    <format dxfId="162">
      <pivotArea field="5" type="button" dataOnly="0" labelOnly="1" outline="0" axis="axisPage" fieldPosition="0"/>
    </format>
    <format dxfId="161">
      <pivotArea field="6" type="button" dataOnly="0" labelOnly="1" outline="0" axis="axisCol" fieldPosition="0"/>
    </format>
  </formats>
  <chartFormats count="5">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6B5F6C-FF33-48DB-910B-6B5E75969A1E}" name="PivotTable2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82:B87" firstHeaderRow="1" firstDataRow="1" firstDataCol="1"/>
  <pivotFields count="42">
    <pivotField showAll="0"/>
    <pivotField showAll="0"/>
    <pivotField showAll="0"/>
    <pivotField showAll="0"/>
    <pivotField showAll="0">
      <items count="9">
        <item x="0"/>
        <item x="4"/>
        <item x="3"/>
        <item x="1"/>
        <item x="5"/>
        <item x="6"/>
        <item x="7"/>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h="1" x="9"/>
        <item h="1" x="5"/>
        <item h="1" x="7"/>
        <item h="1" x="0"/>
        <item h="1" x="10"/>
        <item h="1" x="6"/>
        <item h="1" x="11"/>
        <item h="1" x="1"/>
        <item x="12"/>
        <item h="1" x="2"/>
        <item h="1" x="8"/>
        <item h="1" x="13"/>
        <item h="1" x="3"/>
        <item h="1" x="4"/>
        <item t="default"/>
      </items>
    </pivotField>
    <pivotField axis="axisRow" dataField="1" showAll="0">
      <items count="124">
        <item x="97"/>
        <item x="3"/>
        <item x="36"/>
        <item x="110"/>
        <item x="24"/>
        <item x="72"/>
        <item x="90"/>
        <item x="71"/>
        <item x="61"/>
        <item x="75"/>
        <item x="119"/>
        <item x="8"/>
        <item x="33"/>
        <item x="45"/>
        <item x="50"/>
        <item x="52"/>
        <item x="0"/>
        <item x="14"/>
        <item x="58"/>
        <item x="60"/>
        <item x="116"/>
        <item x="28"/>
        <item x="106"/>
        <item x="37"/>
        <item x="42"/>
        <item x="112"/>
        <item x="81"/>
        <item x="80"/>
        <item x="89"/>
        <item x="68"/>
        <item x="93"/>
        <item x="32"/>
        <item x="95"/>
        <item x="11"/>
        <item x="49"/>
        <item x="9"/>
        <item x="20"/>
        <item x="30"/>
        <item x="54"/>
        <item x="63"/>
        <item x="118"/>
        <item x="66"/>
        <item x="69"/>
        <item x="122"/>
        <item x="41"/>
        <item x="4"/>
        <item x="1"/>
        <item x="62"/>
        <item x="34"/>
        <item x="96"/>
        <item x="15"/>
        <item x="87"/>
        <item x="79"/>
        <item x="94"/>
        <item x="121"/>
        <item x="99"/>
        <item x="108"/>
        <item x="47"/>
        <item x="77"/>
        <item x="6"/>
        <item x="114"/>
        <item x="22"/>
        <item x="100"/>
        <item x="23"/>
        <item x="73"/>
        <item x="91"/>
        <item x="76"/>
        <item x="25"/>
        <item x="16"/>
        <item x="70"/>
        <item x="18"/>
        <item x="65"/>
        <item x="120"/>
        <item x="86"/>
        <item x="38"/>
        <item x="85"/>
        <item x="29"/>
        <item x="43"/>
        <item x="10"/>
        <item x="84"/>
        <item x="113"/>
        <item x="107"/>
        <item x="117"/>
        <item x="101"/>
        <item x="82"/>
        <item x="56"/>
        <item x="105"/>
        <item x="17"/>
        <item x="59"/>
        <item x="98"/>
        <item x="111"/>
        <item x="46"/>
        <item x="40"/>
        <item x="26"/>
        <item x="74"/>
        <item x="115"/>
        <item x="7"/>
        <item x="83"/>
        <item x="88"/>
        <item x="51"/>
        <item x="67"/>
        <item x="104"/>
        <item x="35"/>
        <item x="64"/>
        <item x="19"/>
        <item x="53"/>
        <item x="48"/>
        <item x="109"/>
        <item x="92"/>
        <item x="21"/>
        <item x="103"/>
        <item x="44"/>
        <item x="5"/>
        <item x="55"/>
        <item x="57"/>
        <item x="13"/>
        <item x="39"/>
        <item x="78"/>
        <item x="102"/>
        <item x="27"/>
        <item x="12"/>
        <item x="2"/>
        <item x="31"/>
        <item t="default"/>
      </items>
    </pivotField>
  </pivotFields>
  <rowFields count="1">
    <field x="41"/>
  </rowFields>
  <rowItems count="5">
    <i>
      <x v="50"/>
    </i>
    <i>
      <x v="51"/>
    </i>
    <i>
      <x v="120"/>
    </i>
    <i>
      <x v="121"/>
    </i>
    <i t="grand">
      <x/>
    </i>
  </rowItems>
  <colItems count="1">
    <i/>
  </colItems>
  <dataFields count="1">
    <dataField name="Count of Value" fld="41" subtotal="count" baseField="0" baseItem="0"/>
  </dataFields>
  <formats count="6">
    <format dxfId="182">
      <pivotArea dataOnly="0" labelOnly="1" fieldPosition="0">
        <references count="1">
          <reference field="41" count="0"/>
        </references>
      </pivotArea>
    </format>
    <format dxfId="181">
      <pivotArea dataOnly="0" labelOnly="1" fieldPosition="0">
        <references count="1">
          <reference field="41" count="0"/>
        </references>
      </pivotArea>
    </format>
    <format dxfId="180">
      <pivotArea dataOnly="0" labelOnly="1" fieldPosition="0">
        <references count="1">
          <reference field="41" count="0"/>
        </references>
      </pivotArea>
    </format>
    <format dxfId="179">
      <pivotArea outline="0" collapsedLevelsAreSubtotals="1" fieldPosition="0"/>
    </format>
    <format dxfId="178">
      <pivotArea dataOnly="0" labelOnly="1" outline="0" axis="axisValues" fieldPosition="0"/>
    </format>
    <format dxfId="177">
      <pivotArea dataOnly="0" labelOnly="1" grandRow="1" outline="0" fieldPosition="0"/>
    </format>
  </formats>
  <chartFormats count="2">
    <chartFormat chart="27" format="0"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212CF3-1E85-4BF0-AF8E-3EC1423084F2}"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A54:D60" firstHeaderRow="1" firstDataRow="2" firstDataCol="1"/>
  <pivotFields count="54">
    <pivotField showAll="0"/>
    <pivotField showAll="0"/>
    <pivotField axis="axisCol" dataField="1" showAll="0">
      <items count="3">
        <item x="1"/>
        <item x="0"/>
        <item t="default"/>
      </items>
    </pivotField>
    <pivotField axis="axisRow" showAll="0">
      <items count="5">
        <item x="3"/>
        <item x="1"/>
        <item x="2"/>
        <item x="0"/>
        <item t="default"/>
      </items>
    </pivotField>
    <pivotField showAll="0">
      <items count="9">
        <item x="0"/>
        <item x="4"/>
        <item x="3"/>
        <item x="1"/>
        <item x="5"/>
        <item x="6"/>
        <item x="7"/>
        <item x="2"/>
        <item t="default"/>
      </items>
    </pivotField>
    <pivotField showAll="0">
      <items count="5">
        <item x="2"/>
        <item x="0"/>
        <item x="3"/>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5">
    <i>
      <x/>
    </i>
    <i>
      <x v="1"/>
    </i>
    <i>
      <x v="2"/>
    </i>
    <i>
      <x v="3"/>
    </i>
    <i t="grand">
      <x/>
    </i>
  </rowItems>
  <colFields count="1">
    <field x="2"/>
  </colFields>
  <colItems count="3">
    <i>
      <x/>
    </i>
    <i>
      <x v="1"/>
    </i>
    <i t="grand">
      <x/>
    </i>
  </colItems>
  <dataFields count="1">
    <dataField name="Count of 2. Gender" fld="2" subtotal="count" baseField="0" baseItem="0"/>
  </dataFields>
  <formats count="10">
    <format dxfId="91">
      <pivotArea type="all" dataOnly="0" outline="0" fieldPosition="0"/>
    </format>
    <format dxfId="90">
      <pivotArea outline="0" collapsedLevelsAreSubtotals="1" fieldPosition="0"/>
    </format>
    <format dxfId="89">
      <pivotArea type="origin" dataOnly="0" labelOnly="1" outline="0" fieldPosition="0"/>
    </format>
    <format dxfId="88">
      <pivotArea field="2" type="button" dataOnly="0" labelOnly="1" outline="0" axis="axisCol" fieldPosition="0"/>
    </format>
    <format dxfId="87">
      <pivotArea type="topRight" dataOnly="0" labelOnly="1" outline="0" fieldPosition="0"/>
    </format>
    <format dxfId="86">
      <pivotArea field="3" type="button" dataOnly="0" labelOnly="1" outline="0" axis="axisRow" fieldPosition="0"/>
    </format>
    <format dxfId="85">
      <pivotArea dataOnly="0" labelOnly="1" fieldPosition="0">
        <references count="1">
          <reference field="3" count="0"/>
        </references>
      </pivotArea>
    </format>
    <format dxfId="84">
      <pivotArea dataOnly="0" labelOnly="1" grandRow="1" outline="0" fieldPosition="0"/>
    </format>
    <format dxfId="83">
      <pivotArea dataOnly="0" labelOnly="1" fieldPosition="0">
        <references count="1">
          <reference field="2" count="0"/>
        </references>
      </pivotArea>
    </format>
    <format dxfId="82">
      <pivotArea dataOnly="0" labelOnly="1" grandCol="1" outline="0" fieldPosition="0"/>
    </format>
  </formats>
  <chartFormats count="6">
    <chartFormat chart="6" format="0" series="1">
      <pivotArea type="data" outline="0" fieldPosition="0">
        <references count="2">
          <reference field="4294967294" count="1" selected="0">
            <x v="0"/>
          </reference>
          <reference field="2" count="1" selected="0">
            <x v="0"/>
          </reference>
        </references>
      </pivotArea>
    </chartFormat>
    <chartFormat chart="6" format="1" series="1">
      <pivotArea type="data" outline="0" fieldPosition="0">
        <references count="2">
          <reference field="4294967294" count="1" selected="0">
            <x v="0"/>
          </reference>
          <reference field="2" count="1" selected="0">
            <x v="1"/>
          </reference>
        </references>
      </pivotArea>
    </chartFormat>
    <chartFormat chart="8" format="0" series="1">
      <pivotArea type="data" outline="0" fieldPosition="0">
        <references count="2">
          <reference field="4294967294" count="1" selected="0">
            <x v="0"/>
          </reference>
          <reference field="2" count="1" selected="0">
            <x v="0"/>
          </reference>
        </references>
      </pivotArea>
    </chartFormat>
    <chartFormat chart="8" format="1" series="1">
      <pivotArea type="data" outline="0" fieldPosition="0">
        <references count="2">
          <reference field="4294967294" count="1" selected="0">
            <x v="0"/>
          </reference>
          <reference field="2" count="1" selected="0">
            <x v="1"/>
          </reference>
        </references>
      </pivotArea>
    </chartFormat>
    <chartFormat chart="43" format="0" series="1">
      <pivotArea type="data" outline="0" fieldPosition="0">
        <references count="2">
          <reference field="4294967294" count="1" selected="0">
            <x v="0"/>
          </reference>
          <reference field="2" count="1" selected="0">
            <x v="0"/>
          </reference>
        </references>
      </pivotArea>
    </chartFormat>
    <chartFormat chart="43"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24CE14-2E24-45F5-8D82-1C25A8B80310}"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B11" firstHeaderRow="1" firstDataRow="1" firstDataCol="1"/>
  <pivotFields count="54">
    <pivotField showAll="0"/>
    <pivotField showAll="0"/>
    <pivotField showAll="0"/>
    <pivotField showAll="0"/>
    <pivotField axis="axisRow" dataField="1" showAll="0">
      <items count="9">
        <item x="0"/>
        <item x="4"/>
        <item x="3"/>
        <item x="1"/>
        <item x="5"/>
        <item x="6"/>
        <item x="7"/>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9">
    <i>
      <x/>
    </i>
    <i>
      <x v="1"/>
    </i>
    <i>
      <x v="2"/>
    </i>
    <i>
      <x v="3"/>
    </i>
    <i>
      <x v="4"/>
    </i>
    <i>
      <x v="5"/>
    </i>
    <i>
      <x v="6"/>
    </i>
    <i>
      <x v="7"/>
    </i>
    <i t="grand">
      <x/>
    </i>
  </rowItems>
  <colItems count="1">
    <i/>
  </colItems>
  <dataFields count="1">
    <dataField name="Count " fld="4" subtotal="count" baseField="4" baseItem="0"/>
  </dataFields>
  <formats count="7">
    <format dxfId="98">
      <pivotArea dataOnly="0" labelOnly="1" outline="0" axis="axisValues" fieldPosition="0"/>
    </format>
    <format dxfId="97">
      <pivotArea type="all" dataOnly="0" outline="0" fieldPosition="0"/>
    </format>
    <format dxfId="96">
      <pivotArea outline="0" collapsedLevelsAreSubtotals="1" fieldPosition="0"/>
    </format>
    <format dxfId="95">
      <pivotArea field="4" type="button" dataOnly="0" labelOnly="1" outline="0" axis="axisRow" fieldPosition="0"/>
    </format>
    <format dxfId="94">
      <pivotArea dataOnly="0" labelOnly="1" fieldPosition="0">
        <references count="1">
          <reference field="4" count="0"/>
        </references>
      </pivotArea>
    </format>
    <format dxfId="93">
      <pivotArea dataOnly="0" labelOnly="1" grandRow="1" outline="0" fieldPosition="0"/>
    </format>
    <format dxfId="92">
      <pivotArea dataOnly="0" labelOnly="1" outline="0" axis="axisValues" fieldPosition="0"/>
    </format>
  </formats>
  <chartFormats count="9">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0"/>
          </reference>
        </references>
      </pivotArea>
    </chartFormat>
    <chartFormat chart="3" format="2">
      <pivotArea type="data" outline="0" fieldPosition="0">
        <references count="2">
          <reference field="4294967294" count="1" selected="0">
            <x v="0"/>
          </reference>
          <reference field="4" count="1" selected="0">
            <x v="1"/>
          </reference>
        </references>
      </pivotArea>
    </chartFormat>
    <chartFormat chart="3" format="3">
      <pivotArea type="data" outline="0" fieldPosition="0">
        <references count="2">
          <reference field="4294967294" count="1" selected="0">
            <x v="0"/>
          </reference>
          <reference field="4" count="1" selected="0">
            <x v="2"/>
          </reference>
        </references>
      </pivotArea>
    </chartFormat>
    <chartFormat chart="3" format="4">
      <pivotArea type="data" outline="0" fieldPosition="0">
        <references count="2">
          <reference field="4294967294" count="1" selected="0">
            <x v="0"/>
          </reference>
          <reference field="4" count="1" selected="0">
            <x v="3"/>
          </reference>
        </references>
      </pivotArea>
    </chartFormat>
    <chartFormat chart="3" format="5">
      <pivotArea type="data" outline="0" fieldPosition="0">
        <references count="2">
          <reference field="4294967294" count="1" selected="0">
            <x v="0"/>
          </reference>
          <reference field="4" count="1" selected="0">
            <x v="4"/>
          </reference>
        </references>
      </pivotArea>
    </chartFormat>
    <chartFormat chart="3" format="6">
      <pivotArea type="data" outline="0" fieldPosition="0">
        <references count="2">
          <reference field="4294967294" count="1" selected="0">
            <x v="0"/>
          </reference>
          <reference field="4" count="1" selected="0">
            <x v="5"/>
          </reference>
        </references>
      </pivotArea>
    </chartFormat>
    <chartFormat chart="3" format="7">
      <pivotArea type="data" outline="0" fieldPosition="0">
        <references count="2">
          <reference field="4294967294" count="1" selected="0">
            <x v="0"/>
          </reference>
          <reference field="4" count="1" selected="0">
            <x v="6"/>
          </reference>
        </references>
      </pivotArea>
    </chartFormat>
    <chartFormat chart="3" format="8">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83E47B-4FDE-4435-BD74-8B27DD2E87B1}" name="PivotTable3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AI11" firstHeaderRow="0" firstDataRow="1" firstDataCol="1"/>
  <pivotFields count="54">
    <pivotField showAll="0"/>
    <pivotField showAll="0"/>
    <pivotField showAll="0"/>
    <pivotField showAll="0"/>
    <pivotField axis="axisRow" showAll="0">
      <items count="9">
        <item x="0"/>
        <item x="4"/>
        <item x="3"/>
        <item x="1"/>
        <item x="5"/>
        <item x="6"/>
        <item x="7"/>
        <item x="2"/>
        <item t="default"/>
      </items>
    </pivotField>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dataField="1" showAll="0"/>
    <pivotField dataField="1" showAll="0"/>
    <pivotField dataField="1" showAll="0"/>
    <pivotField dataField="1" showAll="0"/>
    <pivotField dataField="1"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1">
    <field x="4"/>
  </rowFields>
  <rowItems count="8">
    <i>
      <x/>
    </i>
    <i>
      <x v="1"/>
    </i>
    <i>
      <x v="2"/>
    </i>
    <i>
      <x v="3"/>
    </i>
    <i>
      <x v="4"/>
    </i>
    <i>
      <x v="5"/>
    </i>
    <i>
      <x v="6"/>
    </i>
    <i>
      <x v="7"/>
    </i>
  </rowItems>
  <colFields count="1">
    <field x="-2"/>
  </colFields>
  <colItems count="34">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colItems>
  <dataFields count="34">
    <dataField name="Average: [Customer acquisition and retention]" fld="51" subtotal="average" baseField="4" baseItem="0"/>
    <dataField name="Average: [Resistance to change or adoption of new technologies by the target market]" fld="53" subtotal="average" baseField="4" baseItem="0"/>
    <dataField name="Average: [Data privacy and compliance concerns]" fld="52" subtotal="average" baseField="4" baseItem="5" numFmtId="2"/>
    <dataField name="Average [Automation tools help manage dynamic pricing]" fld="24" subtotal="average" baseField="4" baseItem="7"/>
    <dataField name="Average: [Building brand awareness and recognition]" fld="50" subtotal="average" baseField="4" baseItem="0"/>
    <dataField name="Average: [Measuring Return on Investment (ROI) effectively]" fld="49" subtotal="average" baseField="4" baseItem="0"/>
    <dataField name="Average: [Rapidly changing digital marketing landscape/algorithms]" fld="48" subtotal="average" baseField="4" baseItem="0"/>
    <dataField name="Average: [Intense competition within the tech industry]" fld="47" subtotal="average" baseField="4" baseItem="0"/>
    <dataField name="Average: [Difficulty in identifying and targeting the right audience]" fld="46" subtotal="average" baseField="4" baseItem="7"/>
    <dataField name="Average: [Lack of in-house marketing expertise]" fld="45" subtotal="average" baseField="4" baseItem="0"/>
    <dataField name="Average: [Limited marketing budget]" fld="44" subtotal="average" baseField="4" baseItem="0"/>
    <dataField name="Average: [Government Regulations]" fld="39" subtotal="average" baseField="4" baseItem="0"/>
    <dataField name="Average:[Competition]" fld="38" subtotal="average" baseField="4" baseItem="0"/>
    <dataField name="Average: [Buying habits of the consumer]" fld="37" subtotal="average" baseField="4" baseItem="0"/>
    <dataField name="Average:[Nature of Market]" fld="36" subtotal="average" baseField="4" baseItem="0"/>
    <dataField name="Average:[Nature of Product]" fld="35" subtotal="average" baseField="4" baseItem="0"/>
    <dataField name="Average:[How important is Digital Platform in distrubution strategy]" fld="34" subtotal="average" baseField="4" baseItem="0"/>
    <dataField name="Average:[How important is a wide reach in distribution strategy]" fld="33" subtotal="average" baseField="4" baseItem="0"/>
    <dataField name="Average:[Budget Allocation &amp; Resource Efficiency]" fld="30" subtotal="average" baseField="4" baseItem="0"/>
    <dataField name="Average:[Digital Marketing capabilities]" fld="29" subtotal="average" baseField="4" baseItem="0"/>
    <dataField name="Average:[Strong value proposition communication]" fld="28" subtotal="average" baseField="4" baseItem="0"/>
    <dataField name="Average:[Clarity on target customers]" fld="27" subtotal="average" baseField="4" baseItem="0"/>
    <dataField name="Average: [Building a strong brand identity]" fld="26" subtotal="average" baseField="4" baseItem="0"/>
    <dataField name="Average:[We use technology tools/software to monitor competitor pricing]" fld="23" subtotal="average" baseField="4" baseItem="0"/>
    <dataField name="Average:[Managing pricing across different markets is extremely difficult]" fld="22" subtotal="average" baseField="4" baseItem="0"/>
    <dataField name="Average:[High production cost is one of the major hurdles in setting the price]" fld="21" subtotal="average" baseField="4" baseItem="0"/>
    <dataField name="Average:[We do offer different level of pricing to different customers]" fld="18" subtotal="average" baseField="4" baseItem="0"/>
    <dataField name="Average:[We face problem of intense competition while setting the price]" fld="20" subtotal="average" baseField="4" baseItem="0"/>
    <dataField name="Average:[We regularly monitor competitor pricing and adjust accordingly]" fld="19" subtotal="average" baseField="4" baseItem="0"/>
    <dataField name="Average product development success: [Market Research]" fld="11" subtotal="average" baseField="4" baseItem="0"/>
    <dataField name="Average:[Our pricing strategy is aligned with our overall business strategy]" fld="17" subtotal="average" baseField="4" baseItem="0"/>
    <dataField name="Average product development success: [customer feedback]" fld="14" subtotal="average" baseField="4" baseItem="0"/>
    <dataField name="Average product development success: [collaboration with industry experts]" fld="12" subtotal="average" baseField="4" baseItem="0"/>
    <dataField name="Average product development success:[Access to latest technologies]" fld="13" subtotal="average" baseField="4" baseItem="0"/>
  </dataFields>
  <formats count="50">
    <format dxfId="79">
      <pivotArea dataOnly="0" labelOnly="1" outline="0" fieldPosition="0">
        <references count="1">
          <reference field="4294967294" count="1">
            <x v="0"/>
          </reference>
        </references>
      </pivotArea>
    </format>
    <format dxfId="78">
      <pivotArea dataOnly="0" labelOnly="1" outline="0" fieldPosition="0">
        <references count="1">
          <reference field="4294967294" count="1">
            <x v="1"/>
          </reference>
        </references>
      </pivotArea>
    </format>
    <format dxfId="77">
      <pivotArea dataOnly="0" labelOnly="1" outline="0" fieldPosition="0">
        <references count="1">
          <reference field="4294967294" count="1">
            <x v="1"/>
          </reference>
        </references>
      </pivotArea>
    </format>
    <format dxfId="76">
      <pivotArea dataOnly="0" labelOnly="1" outline="0" fieldPosition="0">
        <references count="1">
          <reference field="4294967294" count="1">
            <x v="2"/>
          </reference>
        </references>
      </pivotArea>
    </format>
    <format dxfId="75">
      <pivotArea dataOnly="0" labelOnly="1" outline="0" fieldPosition="0">
        <references count="1">
          <reference field="4294967294" count="1">
            <x v="3"/>
          </reference>
        </references>
      </pivotArea>
    </format>
    <format dxfId="74">
      <pivotArea dataOnly="0" labelOnly="1" outline="0" fieldPosition="0">
        <references count="1">
          <reference field="4294967294" count="1">
            <x v="4"/>
          </reference>
        </references>
      </pivotArea>
    </format>
    <format dxfId="73">
      <pivotArea dataOnly="0" labelOnly="1" outline="0" fieldPosition="0">
        <references count="1">
          <reference field="4294967294" count="1">
            <x v="5"/>
          </reference>
        </references>
      </pivotArea>
    </format>
    <format dxfId="72">
      <pivotArea dataOnly="0" labelOnly="1" outline="0" fieldPosition="0">
        <references count="1">
          <reference field="4294967294" count="1">
            <x v="6"/>
          </reference>
        </references>
      </pivotArea>
    </format>
    <format dxfId="71">
      <pivotArea dataOnly="0" labelOnly="1" outline="0" fieldPosition="0">
        <references count="1">
          <reference field="4294967294" count="1">
            <x v="7"/>
          </reference>
        </references>
      </pivotArea>
    </format>
    <format dxfId="70">
      <pivotArea dataOnly="0" labelOnly="1" outline="0" fieldPosition="0">
        <references count="1">
          <reference field="4294967294" count="1">
            <x v="8"/>
          </reference>
        </references>
      </pivotArea>
    </format>
    <format dxfId="69">
      <pivotArea dataOnly="0" labelOnly="1" outline="0" fieldPosition="0">
        <references count="1">
          <reference field="4294967294" count="1">
            <x v="9"/>
          </reference>
        </references>
      </pivotArea>
    </format>
    <format dxfId="68">
      <pivotArea dataOnly="0" labelOnly="1" outline="0" fieldPosition="0">
        <references count="1">
          <reference field="4294967294" count="1">
            <x v="10"/>
          </reference>
        </references>
      </pivotArea>
    </format>
    <format dxfId="67">
      <pivotArea dataOnly="0" labelOnly="1" outline="0" fieldPosition="0">
        <references count="1">
          <reference field="4294967294" count="1">
            <x v="11"/>
          </reference>
        </references>
      </pivotArea>
    </format>
    <format dxfId="66">
      <pivotArea dataOnly="0" labelOnly="1" outline="0" fieldPosition="0">
        <references count="1">
          <reference field="4294967294" count="1">
            <x v="12"/>
          </reference>
        </references>
      </pivotArea>
    </format>
    <format dxfId="65">
      <pivotArea dataOnly="0" labelOnly="1" outline="0" fieldPosition="0">
        <references count="1">
          <reference field="4294967294" count="1">
            <x v="13"/>
          </reference>
        </references>
      </pivotArea>
    </format>
    <format dxfId="64">
      <pivotArea dataOnly="0" labelOnly="1" outline="0" fieldPosition="0">
        <references count="1">
          <reference field="4294967294" count="1">
            <x v="14"/>
          </reference>
        </references>
      </pivotArea>
    </format>
    <format dxfId="63">
      <pivotArea dataOnly="0" labelOnly="1" outline="0" fieldPosition="0">
        <references count="1">
          <reference field="4294967294" count="1">
            <x v="15"/>
          </reference>
        </references>
      </pivotArea>
    </format>
    <format dxfId="62">
      <pivotArea dataOnly="0" labelOnly="1" outline="0" fieldPosition="0">
        <references count="1">
          <reference field="4294967294" count="1">
            <x v="16"/>
          </reference>
        </references>
      </pivotArea>
    </format>
    <format dxfId="61">
      <pivotArea dataOnly="0" labelOnly="1" outline="0" fieldPosition="0">
        <references count="1">
          <reference field="4294967294" count="1">
            <x v="17"/>
          </reference>
        </references>
      </pivotArea>
    </format>
    <format dxfId="60">
      <pivotArea dataOnly="0" labelOnly="1" outline="0" fieldPosition="0">
        <references count="1">
          <reference field="4294967294" count="1">
            <x v="18"/>
          </reference>
        </references>
      </pivotArea>
    </format>
    <format dxfId="59">
      <pivotArea dataOnly="0" labelOnly="1" outline="0" fieldPosition="0">
        <references count="1">
          <reference field="4294967294" count="1">
            <x v="19"/>
          </reference>
        </references>
      </pivotArea>
    </format>
    <format dxfId="58">
      <pivotArea dataOnly="0" labelOnly="1" outline="0" fieldPosition="0">
        <references count="1">
          <reference field="4294967294" count="1">
            <x v="20"/>
          </reference>
        </references>
      </pivotArea>
    </format>
    <format dxfId="57">
      <pivotArea dataOnly="0" labelOnly="1" outline="0" fieldPosition="0">
        <references count="1">
          <reference field="4294967294" count="1">
            <x v="21"/>
          </reference>
        </references>
      </pivotArea>
    </format>
    <format dxfId="56">
      <pivotArea dataOnly="0" labelOnly="1" outline="0" fieldPosition="0">
        <references count="1">
          <reference field="4294967294" count="1">
            <x v="22"/>
          </reference>
        </references>
      </pivotArea>
    </format>
    <format dxfId="55">
      <pivotArea dataOnly="0" labelOnly="1" outline="0" fieldPosition="0">
        <references count="1">
          <reference field="4294967294" count="1">
            <x v="23"/>
          </reference>
        </references>
      </pivotArea>
    </format>
    <format dxfId="54">
      <pivotArea dataOnly="0" labelOnly="1" outline="0" fieldPosition="0">
        <references count="1">
          <reference field="4294967294" count="1">
            <x v="24"/>
          </reference>
        </references>
      </pivotArea>
    </format>
    <format dxfId="53">
      <pivotArea dataOnly="0" labelOnly="1" outline="0" fieldPosition="0">
        <references count="1">
          <reference field="4294967294" count="1">
            <x v="25"/>
          </reference>
        </references>
      </pivotArea>
    </format>
    <format dxfId="52">
      <pivotArea dataOnly="0" labelOnly="1" outline="0" fieldPosition="0">
        <references count="1">
          <reference field="4294967294" count="1">
            <x v="26"/>
          </reference>
        </references>
      </pivotArea>
    </format>
    <format dxfId="51">
      <pivotArea dataOnly="0" labelOnly="1" outline="0" fieldPosition="0">
        <references count="1">
          <reference field="4294967294" count="1">
            <x v="27"/>
          </reference>
        </references>
      </pivotArea>
    </format>
    <format dxfId="50">
      <pivotArea dataOnly="0" labelOnly="1" outline="0" fieldPosition="0">
        <references count="1">
          <reference field="4294967294" count="1">
            <x v="28"/>
          </reference>
        </references>
      </pivotArea>
    </format>
    <format dxfId="49">
      <pivotArea dataOnly="0" labelOnly="1" outline="0" fieldPosition="0">
        <references count="1">
          <reference field="4294967294" count="1">
            <x v="29"/>
          </reference>
        </references>
      </pivotArea>
    </format>
    <format dxfId="48">
      <pivotArea dataOnly="0" labelOnly="1" outline="0" fieldPosition="0">
        <references count="1">
          <reference field="4294967294" count="1">
            <x v="30"/>
          </reference>
        </references>
      </pivotArea>
    </format>
    <format dxfId="47">
      <pivotArea dataOnly="0" labelOnly="1" outline="0" fieldPosition="0">
        <references count="1">
          <reference field="4294967294" count="1">
            <x v="31"/>
          </reference>
        </references>
      </pivotArea>
    </format>
    <format dxfId="46">
      <pivotArea dataOnly="0" labelOnly="1" outline="0" fieldPosition="0">
        <references count="1">
          <reference field="4294967294" count="1">
            <x v="32"/>
          </reference>
        </references>
      </pivotArea>
    </format>
    <format dxfId="45">
      <pivotArea dataOnly="0" labelOnly="1" outline="0" fieldPosition="0">
        <references count="1">
          <reference field="4294967294" count="1">
            <x v="33"/>
          </reference>
        </references>
      </pivotArea>
    </format>
    <format dxfId="44">
      <pivotArea outline="0" fieldPosition="0">
        <references count="1">
          <reference field="4294967294" count="1">
            <x v="2"/>
          </reference>
        </references>
      </pivotArea>
    </format>
    <format dxfId="43">
      <pivotArea dataOnly="0" labelOnly="1" outline="0" fieldPosition="0">
        <references count="1">
          <reference field="4294967294" count="1">
            <x v="29"/>
          </reference>
        </references>
      </pivotArea>
    </format>
    <format dxfId="42">
      <pivotArea outline="0" collapsedLevelsAreSubtotals="1" fieldPosition="0">
        <references count="1">
          <reference field="4294967294" count="1" selected="0">
            <x v="31"/>
          </reference>
        </references>
      </pivotArea>
    </format>
    <format dxfId="41">
      <pivotArea dataOnly="0" labelOnly="1" fieldPosition="0">
        <references count="1">
          <reference field="4" count="0"/>
        </references>
      </pivotArea>
    </format>
    <format dxfId="40">
      <pivotArea field="4" type="button" dataOnly="0" labelOnly="1" outline="0" axis="axisRow" fieldPosition="0"/>
    </format>
    <format dxfId="39">
      <pivotArea dataOnly="0" labelOnly="1" outline="0" fieldPosition="0">
        <references count="1">
          <reference field="4294967294" count="34">
            <x v="0"/>
            <x v="1"/>
            <x v="2"/>
            <x v="3"/>
            <x v="4"/>
            <x v="5"/>
            <x v="6"/>
            <x v="7"/>
            <x v="8"/>
            <x v="9"/>
            <x v="10"/>
            <x v="11"/>
            <x v="12"/>
            <x v="13"/>
            <x v="14"/>
            <x v="15"/>
            <x v="16"/>
            <x v="17"/>
            <x v="18"/>
            <x v="19"/>
            <x v="20"/>
            <x v="21"/>
            <x v="22"/>
            <x v="23"/>
            <x v="24"/>
            <x v="25"/>
            <x v="26"/>
            <x v="27"/>
            <x v="28"/>
            <x v="29"/>
            <x v="30"/>
            <x v="31"/>
            <x v="32"/>
            <x v="33"/>
          </reference>
        </references>
      </pivotArea>
    </format>
    <format dxfId="38">
      <pivotArea field="4" type="button" dataOnly="0" labelOnly="1" outline="0" axis="axisRow" fieldPosition="0"/>
    </format>
    <format dxfId="37">
      <pivotArea dataOnly="0" labelOnly="1" outline="0" fieldPosition="0">
        <references count="1">
          <reference field="4294967294" count="34">
            <x v="0"/>
            <x v="1"/>
            <x v="2"/>
            <x v="3"/>
            <x v="4"/>
            <x v="5"/>
            <x v="6"/>
            <x v="7"/>
            <x v="8"/>
            <x v="9"/>
            <x v="10"/>
            <x v="11"/>
            <x v="12"/>
            <x v="13"/>
            <x v="14"/>
            <x v="15"/>
            <x v="16"/>
            <x v="17"/>
            <x v="18"/>
            <x v="19"/>
            <x v="20"/>
            <x v="21"/>
            <x v="22"/>
            <x v="23"/>
            <x v="24"/>
            <x v="25"/>
            <x v="26"/>
            <x v="27"/>
            <x v="28"/>
            <x v="29"/>
            <x v="30"/>
            <x v="31"/>
            <x v="32"/>
            <x v="33"/>
          </reference>
        </references>
      </pivotArea>
    </format>
    <format dxfId="36">
      <pivotArea field="4" type="button" dataOnly="0" labelOnly="1" outline="0" axis="axisRow" fieldPosition="0"/>
    </format>
    <format dxfId="35">
      <pivotArea dataOnly="0" labelOnly="1" outline="0" fieldPosition="0">
        <references count="1">
          <reference field="4294967294" count="34">
            <x v="0"/>
            <x v="1"/>
            <x v="2"/>
            <x v="3"/>
            <x v="4"/>
            <x v="5"/>
            <x v="6"/>
            <x v="7"/>
            <x v="8"/>
            <x v="9"/>
            <x v="10"/>
            <x v="11"/>
            <x v="12"/>
            <x v="13"/>
            <x v="14"/>
            <x v="15"/>
            <x v="16"/>
            <x v="17"/>
            <x v="18"/>
            <x v="19"/>
            <x v="20"/>
            <x v="21"/>
            <x v="22"/>
            <x v="23"/>
            <x v="24"/>
            <x v="25"/>
            <x v="26"/>
            <x v="27"/>
            <x v="28"/>
            <x v="29"/>
            <x v="30"/>
            <x v="31"/>
            <x v="32"/>
            <x v="33"/>
          </reference>
        </references>
      </pivotArea>
    </format>
    <format dxfId="34">
      <pivotArea type="all" dataOnly="0" outline="0" fieldPosition="0"/>
    </format>
    <format dxfId="33">
      <pivotArea outline="0" collapsedLevelsAreSubtotals="1" fieldPosition="0"/>
    </format>
    <format dxfId="32">
      <pivotArea field="4" type="button" dataOnly="0" labelOnly="1" outline="0" axis="axisRow" fieldPosition="0"/>
    </format>
    <format dxfId="31">
      <pivotArea dataOnly="0" labelOnly="1" fieldPosition="0">
        <references count="1">
          <reference field="4" count="0"/>
        </references>
      </pivotArea>
    </format>
    <format dxfId="30">
      <pivotArea dataOnly="0" labelOnly="1" outline="0" fieldPosition="0">
        <references count="1">
          <reference field="4294967294" count="34">
            <x v="0"/>
            <x v="1"/>
            <x v="2"/>
            <x v="3"/>
            <x v="4"/>
            <x v="5"/>
            <x v="6"/>
            <x v="7"/>
            <x v="8"/>
            <x v="9"/>
            <x v="10"/>
            <x v="11"/>
            <x v="12"/>
            <x v="13"/>
            <x v="14"/>
            <x v="15"/>
            <x v="16"/>
            <x v="17"/>
            <x v="18"/>
            <x v="19"/>
            <x v="20"/>
            <x v="21"/>
            <x v="22"/>
            <x v="23"/>
            <x v="24"/>
            <x v="25"/>
            <x v="26"/>
            <x v="27"/>
            <x v="28"/>
            <x v="29"/>
            <x v="30"/>
            <x v="31"/>
            <x v="32"/>
            <x v="33"/>
          </reference>
        </references>
      </pivotArea>
    </format>
  </formats>
  <conditionalFormats count="1">
    <conditionalFormat priority="1">
      <pivotAreas count="1">
        <pivotArea type="data" outline="0" collapsedLevelsAreSubtotals="1" fieldPosition="0"/>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4._What_is_the_primary_industry_of_your_technopreneurial_venture?" xr10:uid="{CB0E3827-2CE7-4EA8-9016-4B7E8A4F9FF9}" sourceName="4. What is the primary industry of your technopreneurial venture?">
  <pivotTables>
    <pivotTable tabId="4" name="PivotTable6"/>
  </pivotTables>
  <data>
    <tabular pivotCacheId="2013274918">
      <items count="8">
        <i x="0" s="1"/>
        <i x="4" s="1"/>
        <i x="3" s="1"/>
        <i x="1" s="1"/>
        <i x="5" s="1"/>
        <i x="6" s="1"/>
        <i x="7"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bute" xr10:uid="{D5D0C86E-B1B8-4221-B7EE-39EA4047126E}" sourceName="Attribute">
  <pivotTables>
    <pivotTable tabId="4" name="PivotTable29"/>
  </pivotTables>
  <data>
    <tabular pivotCacheId="1615667306">
      <items count="14">
        <i x="9"/>
        <i x="5"/>
        <i x="7"/>
        <i x="0"/>
        <i x="10"/>
        <i x="6"/>
        <i x="11"/>
        <i x="1"/>
        <i x="12" s="1"/>
        <i x="2"/>
        <i x="8"/>
        <i x="13"/>
        <i x="3"/>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4._What_is_the_primary_industry_of_your_technopreneurial_venture?1" xr10:uid="{C7EAAFC0-C48E-404E-BF55-6DF6BA9FCF04}" sourceName="4. What is the primary industry of your technopreneurial venture?">
  <pivotTables>
    <pivotTable tabId="4" name="PivotTable29"/>
  </pivotTables>
  <data>
    <tabular pivotCacheId="1615667306">
      <items count="8">
        <i x="0" s="1"/>
        <i x="4" s="1"/>
        <i x="3" s="1"/>
        <i x="1" s="1"/>
        <i x="5" s="1"/>
        <i x="6" s="1"/>
        <i x="7"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4._What_is_the_primary_industry_of_your_technopreneurial_venture?2" xr10:uid="{78431939-7B40-43A3-B2F0-AF5AB029CB3E}" sourceName="4. What is the primary industry of your technopreneurial venture?">
  <pivotTables>
    <pivotTable tabId="5" name="PivotTable4"/>
  </pivotTables>
  <data>
    <tabular pivotCacheId="2013274918">
      <items count="8">
        <i x="0" s="1"/>
        <i x="4" s="1"/>
        <i x="3" s="1"/>
        <i x="1" s="1"/>
        <i x="5" s="1"/>
        <i x="6" s="1"/>
        <i x="7"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5._How_long_has_your_technopreneurial_venture_been_in_operation?" xr10:uid="{7F6324B5-EA47-48CA-A93A-D50D61C4C842}" sourceName="5. How long has your technopreneurial venture been in operation?">
  <pivotTables>
    <pivotTable tabId="5" name="PivotTable4"/>
  </pivotTables>
  <data>
    <tabular pivotCacheId="2013274918">
      <items count="4">
        <i x="2" s="1"/>
        <i x="0" s="1"/>
        <i x="3"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5._How_long_has_your_technopreneurial_venture_been_in_operation?1" xr10:uid="{BE3514E0-3208-443D-B282-660276EE3D87}" sourceName="5. How long has your technopreneurial venture been in operation?">
  <pivotTables>
    <pivotTable tabId="4" name="PivotTable1"/>
  </pivotTables>
  <data>
    <tabular pivotCacheId="2013274918">
      <items count="4">
        <i x="2" s="1"/>
        <i x="0" s="1"/>
        <i x="3"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4._What_is_the_primary_industry_of_your_technopreneurial_venture?3" xr10:uid="{696C5046-47AB-44E0-9533-B51B7903EEF8}" sourceName="4. What is the primary industry of your technopreneurial venture?">
  <pivotTables>
    <pivotTable tabId="4" name="PivotTable2"/>
  </pivotTables>
  <data>
    <tabular pivotCacheId="2013274918">
      <items count="8">
        <i x="0" s="1"/>
        <i x="4" s="1"/>
        <i x="3" s="1"/>
        <i x="1" s="1"/>
        <i x="5" s="1"/>
        <i x="6" s="1"/>
        <i x="7"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4._How_frequently_is_the_product_upgraded_technologically?" xr10:uid="{D53817EE-701F-4BCA-A6E2-E74A5323FDB1}" sourceName="4. How frequently is the product upgraded technologically?">
  <pivotTables>
    <pivotTable tabId="4" name="PivotTable5"/>
  </pivotTables>
  <data>
    <tabular pivotCacheId="2013274918">
      <items count="4">
        <i x="0" s="1"/>
        <i x="3" s="1"/>
        <i x="2"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3._What_is_your_highest_level_of_education?" xr10:uid="{7DCB2C3A-04EC-47FE-8D13-709D7796A2C6}" sourceName="3. What is your highest level of education?">
  <pivotTables>
    <pivotTable tabId="4" name="PivotTable6"/>
  </pivotTables>
  <data>
    <tabular pivotCacheId="2013274918">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4. What is the primary industry of your technopreneurial venture?" xr10:uid="{68E27058-70C6-4F2F-9257-C0372EA7D640}" cache="Slicer_4._What_is_the_primary_industry_of_your_technopreneurial_venture?" caption="4. What is the primary industry of your technopreneurial venture?" rowHeight="234950"/>
  <slicer name="Attribute" xr10:uid="{8F88A94F-F483-40F2-A31B-C3BA34A9DB7C}" cache="Slicer_Attribute" caption="Attribute" startItem="3" rowHeight="234950"/>
  <slicer name="4. What is the primary industry of your technopreneurial venture? 1" xr10:uid="{E48F3EAF-A8BF-490D-9769-7CB78B1822F8}" cache="Slicer_4._What_is_the_primary_industry_of_your_technopreneurial_venture?1" caption="4. What is the primary industry of your technopreneurial venture?" rowHeight="234950"/>
  <slicer name="How long has your technopreneurial venture been in operation?" xr10:uid="{0544A73B-9D3A-4C77-8E72-17A6CD58632D}" cache="Slicer_5._How_long_has_your_technopreneurial_venture_been_in_operation?1" caption="How long has your technopreneurial venture been in operation?" rowHeight="234950"/>
  <slicer name="What is the primary industry of your technopreneurial venture?" xr10:uid="{4D753D9D-6BA3-44EC-8E98-E26633EF1399}" cache="Slicer_4._What_is_the_primary_industry_of_your_technopreneurial_venture?3" caption="What is the primary industry of your technopreneurial venture?" rowHeight="234950"/>
  <slicer name="4. How frequently is the product upgraded technologically?" xr10:uid="{DCBE7697-96A1-4999-8393-38CD48039754}" cache="Slicer_4._How_frequently_is_the_product_upgraded_technologically?" caption="4. How frequently is the product upgraded technologically?" rowHeight="234950"/>
  <slicer name="What is your highest level of education?" xr10:uid="{FAB212EE-FC7A-4C6D-950A-C1FC22DDEBF6}" cache="Slicer_3._What_is_your_highest_level_of_education?" caption="What is your highest level of educat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4. What is the primary industry of your technopreneurial venture? 2" xr10:uid="{E2684D44-E349-42C0-800C-5FE72EBBC802}" cache="Slicer_4._What_is_the_primary_industry_of_your_technopreneurial_venture?2" caption="4. What is the primary industry of your technopreneurial venture?" rowHeight="234950"/>
  <slicer name="5. How long has your technopreneurial venture been in operation?" xr10:uid="{33460DF9-C9BE-4D27-AD63-72BB7454890F}" cache="Slicer_5._How_long_has_your_technopreneurial_venture_been_in_operation?" caption="5. How long has your technopreneurial venture been in operat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F3F860-A131-4647-B696-E052D5D991A1}" name="Table1" displayName="Table1" ref="A1:BB32" totalsRowCount="1" headerRowDxfId="295" dataDxfId="293" headerRowBorderDxfId="294" tableBorderDxfId="292" totalsRowBorderDxfId="291">
  <autoFilter ref="A1:BB31" xr:uid="{B4F3F860-A131-4647-B696-E052D5D991A1}"/>
  <tableColumns count="54">
    <tableColumn id="1" xr3:uid="{E246CBF8-3525-4469-B008-D9DD6316C4AC}" name="Sr. no." dataDxfId="290" totalsRowDxfId="289">
      <calculatedColumnFormula>A1+1</calculatedColumnFormula>
    </tableColumn>
    <tableColumn id="2" xr3:uid="{BAC99351-EA48-4B1F-8FBC-580B95BBA4B0}" name="1. Age (years)" dataDxfId="288" totalsRowDxfId="287"/>
    <tableColumn id="3" xr3:uid="{423ACE9B-7D74-42D9-94CF-3848C200033B}" name="2. Gender" dataDxfId="286" totalsRowDxfId="285"/>
    <tableColumn id="4" xr3:uid="{9600D86E-6029-4D2A-A21A-0EF9A3AFF2BC}" name="3. What is your highest level of education?" dataDxfId="284" totalsRowDxfId="283"/>
    <tableColumn id="5" xr3:uid="{AE24DAD9-4BB3-481F-A947-EB4A2E9C27F5}" name="4. What is the primary industry of your technopreneurial venture?" dataDxfId="282" totalsRowDxfId="281"/>
    <tableColumn id="6" xr3:uid="{82D9960E-E2D4-4467-80F4-0C200E298DE1}" name="5. How long has your technopreneurial venture been in operation?" dataDxfId="280" totalsRowDxfId="279"/>
    <tableColumn id="7" xr3:uid="{C399EE4D-E896-4506-9105-639919EA32DB}" name="1. Which product development approach is mainly followed in your venture?" dataDxfId="278" totalsRowDxfId="277"/>
    <tableColumn id="8" xr3:uid="{26983D32-3E70-4454-81E0-60D084E42047}" name="2. What is your Source of Product Ideas" dataDxfId="276" totalsRowDxfId="275"/>
    <tableColumn id="9" xr3:uid="{E0010765-31FA-43E5-8838-4CB1EF283B44}" name="3. Do you involve customers or users in your product development process?" dataDxfId="274" totalsRowDxfId="273"/>
    <tableColumn id="10" xr3:uid="{C5D24581-F1CA-4360-BE3B-528687963847}" name="4. How frequently is the product upgraded technologically?" dataDxfId="272" totalsRowDxfId="271"/>
    <tableColumn id="11" xr3:uid="{C39E98CA-71B1-4E98-B57C-AB78E4C80B4C}" name="5. Your product development strategy focuses more on:" dataDxfId="270" totalsRowDxfId="269"/>
    <tableColumn id="12" xr3:uid="{3DD69F8C-F8DA-46A3-BD55-04EDBB24C688}" name="6. Importance Scale – Rate the importance of the following for product development success:_x000a_( 1 = Not Important at All, 2 = Somewhat important, 3= Moderately Important, 4 = Very Important, 5 = Extremely Important) [Market research]" totalsRowFunction="custom" dataDxfId="268" totalsRowDxfId="267">
      <totalsRowFormula>AVERAGE(Table1[6. Importance Scale – Rate the importance of the following for product development success:
( 1 = Not Important at All, 2 = Somewhat important, 3= Moderately Important, 4 = Very Important, 5 = Extremely Important) '[Market research']])</totalsRowFormula>
    </tableColumn>
    <tableColumn id="13" xr3:uid="{70F3E275-F280-4323-B89A-76146C2DC2C8}" name="6. Importance Scale – Rate the importance of the following for product development success:_x000a_( 1 = Not Important at All, 2 = Somewhat important, 3= Moderately Important, 4 = Very Important, 5 = Extremely Important) [Collaboration with industry experts]" totalsRowFunction="average" dataDxfId="266" totalsRowDxfId="265"/>
    <tableColumn id="14" xr3:uid="{A589F45E-8557-495F-B1DE-D8F5CE3B7FCA}" name="6. Importance Scale – Rate the importance of the following for product development success:_x000a_( 1 = Not Important at All, 2 = Somewhat important, 3= Moderately Important, 4 = Very Important, 5 = Extremely Important) [Access to latest technologies]" totalsRowFunction="custom" dataDxfId="264" totalsRowDxfId="263">
      <totalsRowFormula>AVERAGE(Table1[6. Importance Scale – Rate the importance of the following for product development success:
( 1 = Not Important at All, 2 = Somewhat important, 3= Moderately Important, 4 = Very Important, 5 = Extremely Important) '[Access to latest technologies']])</totalsRowFormula>
    </tableColumn>
    <tableColumn id="15" xr3:uid="{240D6D65-1EF9-4089-88EB-5D415CACE54A}" name="6. Importance Scale – Rate the importance of the following for product development success:_x000a_( 1 = Not Important at All, 2 = Somewhat important, 3= Moderately Important, 4 = Very Important, 5 = Extremely Important) [Customer Feedback]" totalsRowFunction="average" dataDxfId="262" totalsRowDxfId="261"/>
    <tableColumn id="16" xr3:uid="{3FB4A9BF-840F-4DAA-BCC5-3A338D4F3536}" name="1. Which of the following pricing strategies do you primarily use for your core product/service?" dataDxfId="260" totalsRowDxfId="259"/>
    <tableColumn id="17" xr3:uid="{16754308-B55C-4FEE-9FB4-F02CB8B1B3D5}" name="2. How frequently do you review and adjust your pricing strategy?" dataDxfId="258" totalsRowDxfId="257"/>
    <tableColumn id="18" xr3:uid="{0C075ABE-19C5-44BB-8A43-BEC4189C9386}" name="3. Agreement Scale Indicate your level of agreement on a 7- point scale: (1 = Strongly disagree, 2 = Disagree, 3 = Moderately disagree, 4 = Neither agree nor disagree, 5 = Moderately agree, 6 = Agree, 7 = Strongly agree.) [Our pricing strategy is aligned " totalsRowFunction="average" dataDxfId="256" totalsRowDxfId="255"/>
    <tableColumn id="19" xr3:uid="{6F825961-166B-424A-8544-9E75501C1D43}" name="3. Agreement Scale Indicate your level of agreement on a 7- point scale: (1 = Strongly disagree, 2 = Disagree, 3 = Moderately disagree, 4 = Neither agree nor disagree, 5 = Moderately agree, 6 = Agree, 7 = Strongly agree.) [We do offer different level of p" totalsRowFunction="average" dataDxfId="254" totalsRowDxfId="253"/>
    <tableColumn id="20" xr3:uid="{E2DB65C6-0984-400E-846A-44B984ED9EE5}" name="3. Agreement Scale Indicate your level of agreement on a 7- point scale: (1 = Strongly disagree, 2 = Disagree, 3 = Moderately disagree, 4 = Neither agree nor disagree, 5 = Moderately agree, 6 = Agree, 7 = Strongly agree.) [We regularly monitor competitor " totalsRowFunction="average" dataDxfId="252" totalsRowDxfId="251"/>
    <tableColumn id="21" xr3:uid="{70F4F16B-C5EF-4F6E-A80A-82E3841A8BBF}" name="3. Agreement Scale Indicate your level of agreement on a 7- point scale: (1 = Strongly disagree, 2 = Disagree, 3 = Moderately disagree, 4 = Neither agree nor disagree, 5 = Moderately agree, 6 = Agree, 7 = Strongly agree.) [We face problem of intense compe" totalsRowFunction="average" dataDxfId="250" totalsRowDxfId="249"/>
    <tableColumn id="22" xr3:uid="{FB66175B-2292-4DF4-8BD1-D03B4CA6EEED}" name="3. Agreement Scale Indicate your level of agreement on a 7- point scale: (1 = Strongly disagree, 2 = Disagree, 3 = Moderately disagree, 4 = Neither agree nor disagree, 5 = Moderately agree, 6 = Agree, 7 = Strongly agree.) [High production cost is one of t" totalsRowFunction="average" dataDxfId="248" totalsRowDxfId="247"/>
    <tableColumn id="23" xr3:uid="{FBC6EC7D-C37A-4867-A2A3-F77F0DFFC102}" name="3. Agreement Scale Indicate your level of agreement on a 7- point scale: (1 = Strongly disagree, 2 = Disagree, 3 = Moderately disagree, 4 = Neither agree nor disagree, 5 = Moderately agree, 6 = Agree, 7 = Strongly agree.) [Managing pricing across differen" totalsRowFunction="average" dataDxfId="246" totalsRowDxfId="245"/>
    <tableColumn id="24" xr3:uid="{01A103FD-36EF-4A7F-8B7A-D72B0D802E6B}" name="3. Agreement Scale Indicate your level of agreement on a 7- point scale: (1 = Strongly disagree, 2 = Disagree, 3 = Moderately disagree, 4 = Neither agree nor disagree, 5 = Moderately agree, 6 = Agree, 7 = Strongly agree.) [We use technology tools/software" totalsRowFunction="average" dataDxfId="244" totalsRowDxfId="243"/>
    <tableColumn id="25" xr3:uid="{2703B84D-09C2-401E-A722-A6FA084934C5}" name="3. Agreement Scale Indicate your level of agreement on a 7- point scale: (1 = Strongly disagree, 2 = Disagree, 3 = Moderately disagree, 4 = Neither agree nor disagree, 5 = Moderately agree, 6 = Agree, 7 = Strongly agree.) [Automation tools help us manage " totalsRowFunction="average" dataDxfId="242" totalsRowDxfId="241"/>
    <tableColumn id="26" xr3:uid="{752E4D63-DB81-4755-88C8-FA20840555D8}" name="1. Which of the following promotional channels do you heavily utilize? (Select all that apply)" dataDxfId="240" totalsRowDxfId="239"/>
    <tableColumn id="27" xr3:uid="{E04CFB12-BBCB-47EB-BA9C-B84F6FC82A5C}" name="2. Importance Scale – Rate the importance of the following factors for promotional efforts: (1 = Not Important at All, 2= Somewhat important, 3 = Moderately Important, 4= Very Important, 5 = Extremely Important) Indicate your agreement on the Agreement Sc" totalsRowFunction="average" dataDxfId="238" totalsRowDxfId="237"/>
    <tableColumn id="28" xr3:uid="{A29FD63D-C993-4C97-8C38-2D27D0996E72}" name="2. Importance Scale – Rate the importance of the following factors for promotional efforts: (1 = Not Important at All, 2= Somewhat important, 3 = Moderately Important, 4= Very Important, 5 = Extremely Important) Indicate your agreement on the Agreement2" totalsRowFunction="average" dataDxfId="236" totalsRowDxfId="235"/>
    <tableColumn id="29" xr3:uid="{9523B6D7-28F1-48D2-98AB-8CB1E223E283}" name="2. Importance Scale – Rate the importance of the following factors for promotional efforts: (1 = Not Important at All, 2= Somewhat important, 3 = Moderately Important, 4= Very Important, 5 = Extremely Important) Indicate your agreement on the Agreement3" totalsRowFunction="average" dataDxfId="234" totalsRowDxfId="233"/>
    <tableColumn id="30" xr3:uid="{A31EBE0D-C18F-4CF2-B044-F79B6600D35B}" name="2. Importance Scale – Rate the importance of the following factors for promotional efforts: (1 = Not Important at All, 2= Somewhat important, 3 = Moderately Important, 4= Very Important, 5 = Extremely Important) Indicate your agreement on the Agreement4" totalsRowFunction="average" dataDxfId="232" totalsRowDxfId="231"/>
    <tableColumn id="31" xr3:uid="{B01BA454-7676-461D-B6E2-0ABF1800AA10}" name="2. Importance Scale – Rate the importance of the following factors for promotional efforts: (1 = Not Important at All, 2= Somewhat important, 3 = Moderately Important, 4= Very Important, 5 = Extremely Important) Indicate your agreement on the Agreement5" totalsRowFunction="average" dataDxfId="230" totalsRowDxfId="229"/>
    <tableColumn id="32" xr3:uid="{E31887E9-0D88-4663-9B39-F524B29A78F8}" name="3. Which of these metrics do you primarily use to evaluate the effectiveness of your promotional strategies?" dataDxfId="228" totalsRowDxfId="227"/>
    <tableColumn id="33" xr3:uid="{087CDD28-7425-4761-BB65-1BB14B8D6A4B}" name="1. Which of the following distribution channels do you use to deliver your product/service?" dataDxfId="226" totalsRowDxfId="225"/>
    <tableColumn id="34" xr3:uid="{DA45AB03-B440-46BC-9CA1-C778AD434927}" name="2. Importance Scale – Rate the importance of the following factors for Distribution Strategy: ) ) ) ) ) ) (1 = Not Important at All, 2= Somewhat important, 3 = Moderately Important, 4= Very Important, 5 = Extremely Important) [How important is a wide reac" totalsRowFunction="average" dataDxfId="224" totalsRowDxfId="223"/>
    <tableColumn id="35" xr3:uid="{2FDCF46E-1512-4B84-8912-7EDC68D9505E}" name="2. Importance Scale – Rate the importance of the following factors for Distribution Strategy: ) ) ) ) ) ) (1 = Not Important at All, 2= Somewhat important, 3 = Moderately Important, 4= Very Important, 5 = Extremely Important) [How important is Digital Pla" totalsRowFunction="average" dataDxfId="222" totalsRowDxfId="221"/>
    <tableColumn id="36" xr3:uid="{474FED51-E92C-4052-BAEC-E4418470E741}" name="2. Importance Scale – Rate the importance of the following factors for Distribution Strategy: ) ) ) ) ) ) (1 = Not Important at All, 2= Somewhat important, 3 = Moderately Important, 4= Very Important, 5 = Extremely Important) [Nature of Product]" totalsRowFunction="average" dataDxfId="220" totalsRowDxfId="219"/>
    <tableColumn id="37" xr3:uid="{64CD3EB8-4B63-4E92-BBC4-134726BAA9AB}" name="2. Importance Scale – Rate the importance of the following factors for Distribution Strategy: ) ) ) ) ) ) (1 = Not Important at All, 2= Somewhat important, 3 = Moderately Important, 4= Very Important, 5 = Extremely Important) [Nature of Market]" totalsRowFunction="average" dataDxfId="218" totalsRowDxfId="217"/>
    <tableColumn id="38" xr3:uid="{2DF29847-1417-4898-AE81-CA1D07BD3CA8}" name="2. Importance Scale – Rate the importance of the following factors for Distribution Strategy: ) ) ) ) ) ) (1 = Not Important at All, 2= Somewhat important, 3 = Moderately Important, 4= Very Important, 5 = Extremely Important) [Buying habits of the consume" totalsRowFunction="average" dataDxfId="216" totalsRowDxfId="215"/>
    <tableColumn id="39" xr3:uid="{B6297485-2DBE-4CFE-9258-74E616D4E0C0}" name="2. Importance Scale – Rate the importance of the following factors for Distribution Strategy: ) ) ) ) ) ) (1 = Not Important at All, 2= Somewhat important, 3 = Moderately Important, 4= Very Important, 5 = Extremely Important) [Competition]" totalsRowFunction="average" dataDxfId="214" totalsRowDxfId="213"/>
    <tableColumn id="40" xr3:uid="{E43F0009-F75D-49A8-BDFC-375A8A367F7C}" name="2. Importance Scale – Rate the importance of the following factors for Distribution Strategy: ) ) ) ) ) ) (1 = Not Important at All, 2= Somewhat important, 3 = Moderately Important, 4= Very Important, 5 = Extremely Important) [Government Regulations]" totalsRowFunction="average" dataDxfId="212" totalsRowDxfId="211"/>
    <tableColumn id="41" xr3:uid="{BB3E888E-D852-41D7-9179-3A9DD90276CC}" name="1.Which digital marketing channels are most effective for reaching your target audience? (Select all that apply)" dataDxfId="210" totalsRowDxfId="209"/>
    <tableColumn id="42" xr3:uid="{41FB428D-7442-4838-971F-65CCD134B1B4}" name="2. How important is website optimization for user experience (UX) and conversion rates in your digital marketing strategy?" dataDxfId="208" totalsRowDxfId="207"/>
    <tableColumn id="43" xr3:uid="{48FC9099-4F6C-4AF6-804E-86E4E12E4EFA}" name="3. Do you employ data analytics and insights to refine your digital marketing campaigns?" dataDxfId="206" totalsRowDxfId="205"/>
    <tableColumn id="44" xr3:uid="{1200C8C2-9434-4396-9F4D-D8935234E82A}" name="4. How do you keep up-to-date with the latest trends and changes in digital marketing? (Select all that apply)" dataDxfId="204" totalsRowDxfId="203"/>
    <tableColumn id="45" xr3:uid="{19B6EAA9-3ABD-4B79-BDCE-A88A5FADD603}" name="Rate the following challenges in terms of their significance to your marketing efforts (1 = Most Significant, 5 = Least Significant): [Limited marketing budget]" totalsRowFunction="average" dataDxfId="202" totalsRowDxfId="201"/>
    <tableColumn id="46" xr3:uid="{79405493-9228-4165-9704-3A3525692C58}" name="Rate the following challenges in terms of their significance to your marketing efforts (1 = Most Significant, 5 = Least Significant): [Lack of in-house marketing expertise]" totalsRowFunction="average" dataDxfId="200" totalsRowDxfId="199"/>
    <tableColumn id="47" xr3:uid="{5BAC286E-6A56-4F3A-AD75-A69ED29A74A0}" name="Rate the following challenges in terms of their significance to your marketing efforts (1 = Most Significant, 5 = Least Significant): [Difficulty in identifying and targeting the right audience]" totalsRowFunction="average" dataDxfId="198" totalsRowDxfId="197"/>
    <tableColumn id="48" xr3:uid="{862F652C-B77D-4287-9BE8-A53308FFE289}" name="Rate the following challenges in terms of their significance to your marketing efforts (1 = Most Significant, 5 = Least Significant): [Intense competition within the tech industry]" totalsRowFunction="average" dataDxfId="196" totalsRowDxfId="195"/>
    <tableColumn id="49" xr3:uid="{C19759BB-1A60-4A8D-947E-6B2E7C74BAAF}" name="Rate the following challenges in terms of their significance to your marketing efforts (1 = Most Significant, 5 = Least Significant): [Rapidly changing digital marketing landscape/algorithms]" totalsRowFunction="average" dataDxfId="194" totalsRowDxfId="193"/>
    <tableColumn id="50" xr3:uid="{B246C0F7-5767-476B-BC44-12FA7E011997}" name="Rate the following challenges in terms of their significance to your marketing efforts (1 = Most Significant, 5 = Least Significant): [Measuring Return on Investment (ROI) effectively]" totalsRowFunction="average" dataDxfId="192" totalsRowDxfId="191"/>
    <tableColumn id="51" xr3:uid="{171D7D4D-DE34-4C12-A300-9B6876E251A9}" name="Rate the following challenges in terms of their significance to your marketing efforts (1 = Most Significant, 5 = Least Significant): [Building brand awareness and recognition]" totalsRowFunction="average" dataDxfId="190" totalsRowDxfId="189"/>
    <tableColumn id="52" xr3:uid="{0F158B52-B05D-4FC7-B4FE-6AC1FD6FF7DA}" name="Rate the following challenges in terms of their significance to your marketing efforts (1 = Most Significant, 5 = Least Significant): [Customer acquisition and retention]" totalsRowFunction="average" dataDxfId="188" totalsRowDxfId="187"/>
    <tableColumn id="53" xr3:uid="{3E159ACD-AAEC-4151-8509-66161AB0291D}" name="Rate the following challenges in terms of their significance to your marketing efforts (1 = Most Significant, 5 = Least Significant): [Data privacy and compliance concerns]" totalsRowFunction="average" dataDxfId="186" totalsRowDxfId="185"/>
    <tableColumn id="54" xr3:uid="{52B6267A-1B10-4618-8DAD-7ABFE6F49092}" name="Rate the following challenges in terms of their significance to your marketing efforts (1 = Most Significant, 5 = Least Significant): [Resistance to change or adoption of new technologies by the target market]" totalsRowFunction="average" dataDxfId="184" totalsRowDxfId="18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F239349-CF09-41D8-BC85-4AF0A760D892}" name="Table1__3" displayName="Table1__3" ref="A1:B481" totalsRowShown="0">
  <autoFilter ref="A1:B481" xr:uid="{9F239349-CF09-41D8-BC85-4AF0A760D892}"/>
  <tableColumns count="2">
    <tableColumn id="1" xr3:uid="{4D57CCCE-5F5F-4358-9E74-EDC1CFABC196}" name="Attribute" dataDxfId="81"/>
    <tableColumn id="2" xr3:uid="{D99FC0D8-FD2F-48E6-9B27-C7CEF92F7E42}" name="Value" dataDxfId="8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DE544-BE11-4F12-9A03-5581F33BE181}">
  <dimension ref="A1:BB32"/>
  <sheetViews>
    <sheetView zoomScale="70" zoomScaleNormal="70" workbookViewId="0">
      <selection activeCell="P5" sqref="P5"/>
    </sheetView>
  </sheetViews>
  <sheetFormatPr defaultColWidth="8.88671875" defaultRowHeight="41.4" customHeight="1" x14ac:dyDescent="0.3"/>
  <cols>
    <col min="1" max="1" width="8.88671875" style="1"/>
    <col min="2" max="2" width="14.33203125" style="1" customWidth="1"/>
    <col min="3" max="3" width="11.33203125" style="1" customWidth="1"/>
    <col min="4" max="4" width="37.88671875" style="1" customWidth="1"/>
    <col min="5" max="5" width="56.77734375" style="1" customWidth="1"/>
    <col min="6" max="6" width="57.5546875" style="1" customWidth="1"/>
    <col min="7" max="7" width="65.44140625" style="1" customWidth="1"/>
    <col min="8" max="8" width="35.33203125" style="1" customWidth="1"/>
    <col min="9" max="9" width="65.109375" style="1" customWidth="1"/>
    <col min="10" max="10" width="51.77734375" style="1" customWidth="1"/>
    <col min="11" max="11" width="48.88671875" style="1" customWidth="1"/>
    <col min="12" max="12" width="15.5546875" style="1" customWidth="1"/>
    <col min="13" max="13" width="20" style="1" customWidth="1"/>
    <col min="14" max="14" width="16" style="1" customWidth="1"/>
    <col min="15" max="15" width="27.21875" style="1" customWidth="1"/>
    <col min="16" max="16" width="67.21875" style="1" customWidth="1"/>
    <col min="17" max="17" width="56.88671875" style="1" customWidth="1"/>
    <col min="18" max="18" width="54.44140625" style="1" customWidth="1"/>
    <col min="19" max="54" width="67.21875" style="1" customWidth="1"/>
    <col min="55" max="16384" width="8.88671875" style="1"/>
  </cols>
  <sheetData>
    <row r="1" spans="1:54" ht="270" customHeight="1" x14ac:dyDescent="0.3">
      <c r="A1" s="11" t="s">
        <v>158</v>
      </c>
      <c r="B1" s="12" t="s">
        <v>0</v>
      </c>
      <c r="C1" s="12" t="s">
        <v>5</v>
      </c>
      <c r="D1" s="12" t="s">
        <v>8</v>
      </c>
      <c r="E1" s="12" t="s">
        <v>9</v>
      </c>
      <c r="F1" s="12" t="s">
        <v>19</v>
      </c>
      <c r="G1" s="12" t="s">
        <v>24</v>
      </c>
      <c r="H1" s="12" t="s">
        <v>25</v>
      </c>
      <c r="I1" s="12" t="s">
        <v>26</v>
      </c>
      <c r="J1" s="12" t="s">
        <v>27</v>
      </c>
      <c r="K1" s="12" t="s">
        <v>28</v>
      </c>
      <c r="L1" s="12" t="s">
        <v>29</v>
      </c>
      <c r="M1" s="12" t="s">
        <v>30</v>
      </c>
      <c r="N1" s="12" t="s">
        <v>31</v>
      </c>
      <c r="O1" s="12" t="s">
        <v>32</v>
      </c>
      <c r="P1" s="12" t="s">
        <v>33</v>
      </c>
      <c r="Q1" s="12" t="s">
        <v>34</v>
      </c>
      <c r="R1" s="12" t="s">
        <v>159</v>
      </c>
      <c r="S1" s="12" t="s">
        <v>160</v>
      </c>
      <c r="T1" s="12" t="s">
        <v>161</v>
      </c>
      <c r="U1" s="12" t="s">
        <v>162</v>
      </c>
      <c r="V1" s="12" t="s">
        <v>163</v>
      </c>
      <c r="W1" s="12" t="s">
        <v>164</v>
      </c>
      <c r="X1" s="12" t="s">
        <v>165</v>
      </c>
      <c r="Y1" s="12" t="s">
        <v>166</v>
      </c>
      <c r="Z1" s="12" t="s">
        <v>35</v>
      </c>
      <c r="AA1" s="12" t="s">
        <v>167</v>
      </c>
      <c r="AB1" s="12" t="s">
        <v>168</v>
      </c>
      <c r="AC1" s="12" t="s">
        <v>169</v>
      </c>
      <c r="AD1" s="12" t="s">
        <v>170</v>
      </c>
      <c r="AE1" s="12" t="s">
        <v>171</v>
      </c>
      <c r="AF1" s="12" t="s">
        <v>36</v>
      </c>
      <c r="AG1" s="12" t="s">
        <v>37</v>
      </c>
      <c r="AH1" s="12" t="s">
        <v>172</v>
      </c>
      <c r="AI1" s="12" t="s">
        <v>173</v>
      </c>
      <c r="AJ1" s="12" t="s">
        <v>38</v>
      </c>
      <c r="AK1" s="12" t="s">
        <v>39</v>
      </c>
      <c r="AL1" s="12" t="s">
        <v>174</v>
      </c>
      <c r="AM1" s="12" t="s">
        <v>40</v>
      </c>
      <c r="AN1" s="12" t="s">
        <v>41</v>
      </c>
      <c r="AO1" s="12" t="s">
        <v>42</v>
      </c>
      <c r="AP1" s="12" t="s">
        <v>43</v>
      </c>
      <c r="AQ1" s="12" t="s">
        <v>44</v>
      </c>
      <c r="AR1" s="12" t="s">
        <v>45</v>
      </c>
      <c r="AS1" s="12" t="s">
        <v>46</v>
      </c>
      <c r="AT1" s="12" t="s">
        <v>47</v>
      </c>
      <c r="AU1" s="12" t="s">
        <v>48</v>
      </c>
      <c r="AV1" s="12" t="s">
        <v>49</v>
      </c>
      <c r="AW1" s="12" t="s">
        <v>50</v>
      </c>
      <c r="AX1" s="12" t="s">
        <v>51</v>
      </c>
      <c r="AY1" s="12" t="s">
        <v>52</v>
      </c>
      <c r="AZ1" s="12" t="s">
        <v>53</v>
      </c>
      <c r="BA1" s="12" t="s">
        <v>54</v>
      </c>
      <c r="BB1" s="13" t="s">
        <v>55</v>
      </c>
    </row>
    <row r="2" spans="1:54" ht="41.4" customHeight="1" x14ac:dyDescent="0.3">
      <c r="A2" s="7">
        <v>1</v>
      </c>
      <c r="B2" s="2" t="s">
        <v>1</v>
      </c>
      <c r="C2" s="2" t="s">
        <v>6</v>
      </c>
      <c r="D2" s="2" t="s">
        <v>10</v>
      </c>
      <c r="E2" s="2" t="s">
        <v>11</v>
      </c>
      <c r="F2" s="2" t="s">
        <v>20</v>
      </c>
      <c r="G2" s="2" t="s">
        <v>56</v>
      </c>
      <c r="H2" s="2" t="s">
        <v>57</v>
      </c>
      <c r="I2" s="2" t="s">
        <v>58</v>
      </c>
      <c r="J2" s="2" t="s">
        <v>59</v>
      </c>
      <c r="K2" s="2" t="s">
        <v>60</v>
      </c>
      <c r="L2" s="3">
        <v>4</v>
      </c>
      <c r="M2" s="3">
        <v>4</v>
      </c>
      <c r="N2" s="3">
        <v>5</v>
      </c>
      <c r="O2" s="3">
        <v>5</v>
      </c>
      <c r="P2" s="2" t="s">
        <v>226</v>
      </c>
      <c r="Q2" s="2" t="s">
        <v>227</v>
      </c>
      <c r="R2" s="3">
        <v>6</v>
      </c>
      <c r="S2" s="3">
        <v>6</v>
      </c>
      <c r="T2" s="3">
        <v>5</v>
      </c>
      <c r="U2" s="3">
        <v>5</v>
      </c>
      <c r="V2" s="3">
        <v>4</v>
      </c>
      <c r="W2" s="3">
        <v>4</v>
      </c>
      <c r="X2" s="3">
        <v>5</v>
      </c>
      <c r="Y2" s="3">
        <v>4</v>
      </c>
      <c r="Z2" s="2" t="s">
        <v>228</v>
      </c>
      <c r="AA2" s="3">
        <v>5</v>
      </c>
      <c r="AB2" s="3">
        <v>4</v>
      </c>
      <c r="AC2" s="3">
        <v>4</v>
      </c>
      <c r="AD2" s="3">
        <v>5</v>
      </c>
      <c r="AE2" s="3">
        <v>4</v>
      </c>
      <c r="AF2" s="2" t="s">
        <v>62</v>
      </c>
      <c r="AG2" s="2" t="s">
        <v>246</v>
      </c>
      <c r="AH2" s="3">
        <v>4</v>
      </c>
      <c r="AI2" s="3">
        <v>5</v>
      </c>
      <c r="AJ2" s="3">
        <v>4</v>
      </c>
      <c r="AK2" s="3">
        <v>4</v>
      </c>
      <c r="AL2" s="3">
        <v>4</v>
      </c>
      <c r="AM2" s="3">
        <v>4</v>
      </c>
      <c r="AN2" s="3">
        <v>3</v>
      </c>
      <c r="AO2" s="2" t="s">
        <v>63</v>
      </c>
      <c r="AP2" s="2" t="s">
        <v>64</v>
      </c>
      <c r="AQ2" s="2" t="s">
        <v>65</v>
      </c>
      <c r="AR2" s="2" t="s">
        <v>66</v>
      </c>
      <c r="AS2" s="3">
        <v>3</v>
      </c>
      <c r="AT2" s="3">
        <v>4</v>
      </c>
      <c r="AU2" s="3">
        <v>4</v>
      </c>
      <c r="AV2" s="3">
        <v>2</v>
      </c>
      <c r="AW2" s="3">
        <v>3</v>
      </c>
      <c r="AX2" s="3">
        <v>2</v>
      </c>
      <c r="AY2" s="3">
        <v>2</v>
      </c>
      <c r="AZ2" s="3">
        <v>2</v>
      </c>
      <c r="BA2" s="3">
        <v>2</v>
      </c>
      <c r="BB2" s="8">
        <v>2</v>
      </c>
    </row>
    <row r="3" spans="1:54" ht="41.4" customHeight="1" x14ac:dyDescent="0.3">
      <c r="A3" s="7">
        <f>A2+1</f>
        <v>2</v>
      </c>
      <c r="B3" s="4" t="s">
        <v>1</v>
      </c>
      <c r="C3" s="4" t="s">
        <v>6</v>
      </c>
      <c r="D3" s="4" t="s">
        <v>13</v>
      </c>
      <c r="E3" s="4" t="s">
        <v>14</v>
      </c>
      <c r="F3" s="4" t="s">
        <v>21</v>
      </c>
      <c r="G3" s="4" t="s">
        <v>56</v>
      </c>
      <c r="H3" s="4" t="s">
        <v>75</v>
      </c>
      <c r="I3" s="4" t="s">
        <v>76</v>
      </c>
      <c r="J3" s="4" t="s">
        <v>77</v>
      </c>
      <c r="K3" s="4" t="s">
        <v>60</v>
      </c>
      <c r="L3" s="5">
        <v>5</v>
      </c>
      <c r="M3" s="5">
        <v>5</v>
      </c>
      <c r="N3" s="5">
        <v>5</v>
      </c>
      <c r="O3" s="5">
        <v>5</v>
      </c>
      <c r="P3" s="4" t="s">
        <v>226</v>
      </c>
      <c r="Q3" s="4" t="s">
        <v>227</v>
      </c>
      <c r="R3" s="5">
        <v>6</v>
      </c>
      <c r="S3" s="5">
        <v>4</v>
      </c>
      <c r="T3" s="5">
        <v>7</v>
      </c>
      <c r="U3" s="5">
        <v>7</v>
      </c>
      <c r="V3" s="5">
        <v>7</v>
      </c>
      <c r="W3" s="5">
        <v>7</v>
      </c>
      <c r="X3" s="5">
        <v>7</v>
      </c>
      <c r="Y3" s="5">
        <v>6</v>
      </c>
      <c r="Z3" s="4" t="s">
        <v>229</v>
      </c>
      <c r="AA3" s="5">
        <v>5</v>
      </c>
      <c r="AB3" s="5">
        <v>5</v>
      </c>
      <c r="AC3" s="5">
        <v>4</v>
      </c>
      <c r="AD3" s="5">
        <v>5</v>
      </c>
      <c r="AE3" s="5">
        <v>4</v>
      </c>
      <c r="AF3" s="4" t="s">
        <v>62</v>
      </c>
      <c r="AG3" s="4" t="s">
        <v>78</v>
      </c>
      <c r="AH3" s="5">
        <v>5</v>
      </c>
      <c r="AI3" s="5">
        <v>5</v>
      </c>
      <c r="AJ3" s="5">
        <v>4</v>
      </c>
      <c r="AK3" s="5">
        <v>4</v>
      </c>
      <c r="AL3" s="5">
        <v>4</v>
      </c>
      <c r="AM3" s="5">
        <v>4</v>
      </c>
      <c r="AN3" s="5">
        <v>5</v>
      </c>
      <c r="AO3" s="4" t="s">
        <v>79</v>
      </c>
      <c r="AP3" s="4" t="s">
        <v>64</v>
      </c>
      <c r="AQ3" s="4" t="s">
        <v>65</v>
      </c>
      <c r="AR3" s="4" t="s">
        <v>69</v>
      </c>
      <c r="AS3" s="5">
        <v>1</v>
      </c>
      <c r="AT3" s="5">
        <v>2</v>
      </c>
      <c r="AU3" s="5">
        <v>1</v>
      </c>
      <c r="AV3" s="5">
        <v>2</v>
      </c>
      <c r="AW3" s="5">
        <v>1</v>
      </c>
      <c r="AX3" s="5">
        <v>1</v>
      </c>
      <c r="AY3" s="5">
        <v>1</v>
      </c>
      <c r="AZ3" s="5">
        <v>2</v>
      </c>
      <c r="BA3" s="5">
        <v>1</v>
      </c>
      <c r="BB3" s="9">
        <v>1</v>
      </c>
    </row>
    <row r="4" spans="1:54" ht="41.4" customHeight="1" x14ac:dyDescent="0.3">
      <c r="A4" s="7">
        <f t="shared" ref="A4:A31" si="0">A3+1</f>
        <v>3</v>
      </c>
      <c r="B4" s="4" t="s">
        <v>3</v>
      </c>
      <c r="C4" s="4" t="s">
        <v>6</v>
      </c>
      <c r="D4" s="4" t="s">
        <v>10</v>
      </c>
      <c r="E4" s="4" t="s">
        <v>17</v>
      </c>
      <c r="F4" s="4" t="s">
        <v>21</v>
      </c>
      <c r="G4" s="4" t="s">
        <v>80</v>
      </c>
      <c r="H4" s="4" t="s">
        <v>57</v>
      </c>
      <c r="I4" s="4" t="s">
        <v>58</v>
      </c>
      <c r="J4" s="4" t="s">
        <v>82</v>
      </c>
      <c r="K4" s="4" t="s">
        <v>83</v>
      </c>
      <c r="L4" s="5">
        <v>3</v>
      </c>
      <c r="M4" s="5">
        <v>3</v>
      </c>
      <c r="N4" s="5">
        <v>4</v>
      </c>
      <c r="O4" s="5">
        <v>3</v>
      </c>
      <c r="P4" s="4" t="s">
        <v>225</v>
      </c>
      <c r="Q4" s="4" t="s">
        <v>89</v>
      </c>
      <c r="R4" s="5">
        <v>3</v>
      </c>
      <c r="S4" s="5">
        <v>3</v>
      </c>
      <c r="T4" s="5">
        <v>3</v>
      </c>
      <c r="U4" s="5">
        <v>3</v>
      </c>
      <c r="V4" s="5">
        <v>3</v>
      </c>
      <c r="W4" s="5">
        <v>3</v>
      </c>
      <c r="X4" s="5">
        <v>3</v>
      </c>
      <c r="Y4" s="5">
        <v>3</v>
      </c>
      <c r="Z4" s="4" t="s">
        <v>230</v>
      </c>
      <c r="AA4" s="5">
        <v>3</v>
      </c>
      <c r="AB4" s="5">
        <v>4</v>
      </c>
      <c r="AC4" s="5">
        <v>3</v>
      </c>
      <c r="AD4" s="5">
        <v>3</v>
      </c>
      <c r="AE4" s="5">
        <v>3</v>
      </c>
      <c r="AF4" s="4" t="s">
        <v>84</v>
      </c>
      <c r="AG4" s="4" t="s">
        <v>247</v>
      </c>
      <c r="AH4" s="5">
        <v>3</v>
      </c>
      <c r="AI4" s="5">
        <v>3</v>
      </c>
      <c r="AJ4" s="5">
        <v>3</v>
      </c>
      <c r="AK4" s="5">
        <v>3</v>
      </c>
      <c r="AL4" s="5">
        <v>3</v>
      </c>
      <c r="AM4" s="5">
        <v>3</v>
      </c>
      <c r="AN4" s="5">
        <v>3</v>
      </c>
      <c r="AO4" s="4" t="s">
        <v>94</v>
      </c>
      <c r="AP4" s="4" t="s">
        <v>64</v>
      </c>
      <c r="AQ4" s="4" t="s">
        <v>58</v>
      </c>
      <c r="AR4" s="4" t="s">
        <v>95</v>
      </c>
      <c r="AS4" s="5">
        <v>2</v>
      </c>
      <c r="AT4" s="5">
        <v>3</v>
      </c>
      <c r="AU4" s="5">
        <v>3</v>
      </c>
      <c r="AV4" s="5">
        <v>2</v>
      </c>
      <c r="AW4" s="5">
        <v>3</v>
      </c>
      <c r="AX4" s="5">
        <v>2</v>
      </c>
      <c r="AY4" s="5">
        <v>3</v>
      </c>
      <c r="AZ4" s="5">
        <v>3</v>
      </c>
      <c r="BA4" s="5">
        <v>2</v>
      </c>
      <c r="BB4" s="9">
        <v>3</v>
      </c>
    </row>
    <row r="5" spans="1:54" ht="41.4" customHeight="1" x14ac:dyDescent="0.3">
      <c r="A5" s="7">
        <f t="shared" si="0"/>
        <v>4</v>
      </c>
      <c r="B5" s="2" t="s">
        <v>4</v>
      </c>
      <c r="C5" s="2" t="s">
        <v>7</v>
      </c>
      <c r="D5" s="2" t="s">
        <v>15</v>
      </c>
      <c r="E5" s="2" t="s">
        <v>17</v>
      </c>
      <c r="F5" s="2" t="s">
        <v>22</v>
      </c>
      <c r="G5" s="2" t="s">
        <v>56</v>
      </c>
      <c r="H5" s="2" t="s">
        <v>57</v>
      </c>
      <c r="I5" s="2" t="s">
        <v>71</v>
      </c>
      <c r="J5" s="2" t="s">
        <v>175</v>
      </c>
      <c r="K5" s="2" t="s">
        <v>83</v>
      </c>
      <c r="L5" s="3">
        <v>1</v>
      </c>
      <c r="M5" s="3">
        <v>3</v>
      </c>
      <c r="N5" s="3">
        <v>2</v>
      </c>
      <c r="O5" s="3">
        <v>3</v>
      </c>
      <c r="P5" s="2" t="s">
        <v>224</v>
      </c>
      <c r="Q5" s="2" t="s">
        <v>73</v>
      </c>
      <c r="R5" s="3">
        <v>1</v>
      </c>
      <c r="S5" s="3">
        <v>2</v>
      </c>
      <c r="T5" s="3">
        <v>2</v>
      </c>
      <c r="U5" s="3">
        <v>1</v>
      </c>
      <c r="V5" s="3">
        <v>3</v>
      </c>
      <c r="W5" s="3">
        <v>2</v>
      </c>
      <c r="X5" s="3">
        <v>1</v>
      </c>
      <c r="Y5" s="3">
        <v>2</v>
      </c>
      <c r="Z5" s="2" t="s">
        <v>231</v>
      </c>
      <c r="AA5" s="3">
        <v>1</v>
      </c>
      <c r="AB5" s="3">
        <v>2</v>
      </c>
      <c r="AC5" s="3">
        <v>3</v>
      </c>
      <c r="AD5" s="3">
        <v>2</v>
      </c>
      <c r="AE5" s="3">
        <v>3</v>
      </c>
      <c r="AF5" s="2" t="s">
        <v>99</v>
      </c>
      <c r="AG5" s="2" t="s">
        <v>248</v>
      </c>
      <c r="AH5" s="3">
        <v>2</v>
      </c>
      <c r="AI5" s="3">
        <v>1</v>
      </c>
      <c r="AJ5" s="3">
        <v>2</v>
      </c>
      <c r="AK5" s="3">
        <v>1</v>
      </c>
      <c r="AL5" s="3">
        <v>2</v>
      </c>
      <c r="AM5" s="3">
        <v>2</v>
      </c>
      <c r="AN5" s="3">
        <v>2</v>
      </c>
      <c r="AO5" s="2" t="s">
        <v>100</v>
      </c>
      <c r="AP5" s="2" t="s">
        <v>64</v>
      </c>
      <c r="AQ5" s="2" t="s">
        <v>65</v>
      </c>
      <c r="AR5" s="2" t="s">
        <v>98</v>
      </c>
      <c r="AS5" s="3">
        <v>2</v>
      </c>
      <c r="AT5" s="3">
        <v>1</v>
      </c>
      <c r="AU5" s="3">
        <v>2</v>
      </c>
      <c r="AV5" s="3">
        <v>2</v>
      </c>
      <c r="AW5" s="3">
        <v>2</v>
      </c>
      <c r="AX5" s="3">
        <v>1</v>
      </c>
      <c r="AY5" s="3">
        <v>2</v>
      </c>
      <c r="AZ5" s="3">
        <v>2</v>
      </c>
      <c r="BA5" s="3">
        <v>2</v>
      </c>
      <c r="BB5" s="8">
        <v>1</v>
      </c>
    </row>
    <row r="6" spans="1:54" ht="41.4" customHeight="1" x14ac:dyDescent="0.3">
      <c r="A6" s="7">
        <f t="shared" si="0"/>
        <v>5</v>
      </c>
      <c r="B6" s="4" t="s">
        <v>1</v>
      </c>
      <c r="C6" s="4" t="s">
        <v>7</v>
      </c>
      <c r="D6" s="4" t="s">
        <v>10</v>
      </c>
      <c r="E6" s="4" t="s">
        <v>18</v>
      </c>
      <c r="F6" s="4" t="s">
        <v>22</v>
      </c>
      <c r="G6" s="4" t="s">
        <v>80</v>
      </c>
      <c r="H6" s="4" t="s">
        <v>57</v>
      </c>
      <c r="I6" s="4" t="s">
        <v>76</v>
      </c>
      <c r="J6" s="4" t="s">
        <v>175</v>
      </c>
      <c r="K6" s="4" t="s">
        <v>83</v>
      </c>
      <c r="L6" s="5">
        <v>5</v>
      </c>
      <c r="M6" s="5">
        <v>5</v>
      </c>
      <c r="N6" s="5">
        <v>5</v>
      </c>
      <c r="O6" s="5">
        <v>5</v>
      </c>
      <c r="P6" s="4" t="s">
        <v>224</v>
      </c>
      <c r="Q6" s="4" t="s">
        <v>89</v>
      </c>
      <c r="R6" s="5">
        <v>7</v>
      </c>
      <c r="S6" s="5">
        <v>6</v>
      </c>
      <c r="T6" s="5">
        <v>7</v>
      </c>
      <c r="U6" s="5">
        <v>7</v>
      </c>
      <c r="V6" s="5">
        <v>6</v>
      </c>
      <c r="W6" s="5">
        <v>6</v>
      </c>
      <c r="X6" s="5">
        <v>6</v>
      </c>
      <c r="Y6" s="5">
        <v>7</v>
      </c>
      <c r="Z6" s="4" t="s">
        <v>232</v>
      </c>
      <c r="AA6" s="5">
        <v>5</v>
      </c>
      <c r="AB6" s="5">
        <v>5</v>
      </c>
      <c r="AC6" s="5">
        <v>5</v>
      </c>
      <c r="AD6" s="5">
        <v>5</v>
      </c>
      <c r="AE6" s="5">
        <v>5</v>
      </c>
      <c r="AF6" s="4" t="s">
        <v>68</v>
      </c>
      <c r="AG6" s="4" t="s">
        <v>249</v>
      </c>
      <c r="AH6" s="5">
        <v>5</v>
      </c>
      <c r="AI6" s="5">
        <v>5</v>
      </c>
      <c r="AJ6" s="5">
        <v>5</v>
      </c>
      <c r="AK6" s="5">
        <v>5</v>
      </c>
      <c r="AL6" s="5">
        <v>5</v>
      </c>
      <c r="AM6" s="5">
        <v>5</v>
      </c>
      <c r="AN6" s="5">
        <v>5</v>
      </c>
      <c r="AO6" s="4" t="s">
        <v>101</v>
      </c>
      <c r="AP6" s="4" t="s">
        <v>64</v>
      </c>
      <c r="AQ6" s="4" t="s">
        <v>76</v>
      </c>
      <c r="AR6" s="4" t="s">
        <v>69</v>
      </c>
      <c r="AS6" s="5">
        <v>5</v>
      </c>
      <c r="AT6" s="5">
        <v>1</v>
      </c>
      <c r="AU6" s="5">
        <v>1</v>
      </c>
      <c r="AV6" s="5">
        <v>1</v>
      </c>
      <c r="AW6" s="5">
        <v>1</v>
      </c>
      <c r="AX6" s="5">
        <v>1</v>
      </c>
      <c r="AY6" s="5">
        <v>2</v>
      </c>
      <c r="AZ6" s="5">
        <v>2</v>
      </c>
      <c r="BA6" s="5">
        <v>2</v>
      </c>
      <c r="BB6" s="9">
        <v>2</v>
      </c>
    </row>
    <row r="7" spans="1:54" ht="41.4" customHeight="1" x14ac:dyDescent="0.3">
      <c r="A7" s="7">
        <f t="shared" si="0"/>
        <v>6</v>
      </c>
      <c r="B7" s="2" t="s">
        <v>2</v>
      </c>
      <c r="C7" s="2" t="s">
        <v>7</v>
      </c>
      <c r="D7" s="2" t="s">
        <v>13</v>
      </c>
      <c r="E7" s="2" t="s">
        <v>12</v>
      </c>
      <c r="F7" s="2" t="s">
        <v>20</v>
      </c>
      <c r="G7" s="2" t="s">
        <v>102</v>
      </c>
      <c r="H7" s="2" t="s">
        <v>57</v>
      </c>
      <c r="I7" s="2" t="s">
        <v>76</v>
      </c>
      <c r="J7" s="2" t="s">
        <v>82</v>
      </c>
      <c r="K7" s="2" t="s">
        <v>83</v>
      </c>
      <c r="L7" s="3">
        <v>5</v>
      </c>
      <c r="M7" s="3">
        <v>5</v>
      </c>
      <c r="N7" s="3">
        <v>5</v>
      </c>
      <c r="O7" s="3">
        <v>5</v>
      </c>
      <c r="P7" s="2" t="s">
        <v>219</v>
      </c>
      <c r="Q7" s="2" t="s">
        <v>59</v>
      </c>
      <c r="R7" s="3">
        <v>7</v>
      </c>
      <c r="S7" s="3">
        <v>7</v>
      </c>
      <c r="T7" s="3">
        <v>7</v>
      </c>
      <c r="U7" s="3">
        <v>7</v>
      </c>
      <c r="V7" s="3">
        <v>7</v>
      </c>
      <c r="W7" s="3">
        <v>7</v>
      </c>
      <c r="X7" s="3">
        <v>7</v>
      </c>
      <c r="Y7" s="3">
        <v>7</v>
      </c>
      <c r="Z7" s="2" t="s">
        <v>233</v>
      </c>
      <c r="AA7" s="3">
        <v>5</v>
      </c>
      <c r="AB7" s="3">
        <v>5</v>
      </c>
      <c r="AC7" s="3">
        <v>5</v>
      </c>
      <c r="AD7" s="3">
        <v>5</v>
      </c>
      <c r="AE7" s="3">
        <v>5</v>
      </c>
      <c r="AF7" s="2" t="s">
        <v>68</v>
      </c>
      <c r="AG7" s="2" t="s">
        <v>250</v>
      </c>
      <c r="AH7" s="3">
        <v>5</v>
      </c>
      <c r="AI7" s="3">
        <v>5</v>
      </c>
      <c r="AJ7" s="3">
        <v>5</v>
      </c>
      <c r="AK7" s="3">
        <v>5</v>
      </c>
      <c r="AL7" s="3">
        <v>5</v>
      </c>
      <c r="AM7" s="3">
        <v>5</v>
      </c>
      <c r="AN7" s="3">
        <v>5</v>
      </c>
      <c r="AO7" s="2" t="s">
        <v>103</v>
      </c>
      <c r="AP7" s="2" t="s">
        <v>64</v>
      </c>
      <c r="AQ7" s="2" t="s">
        <v>76</v>
      </c>
      <c r="AR7" s="2" t="s">
        <v>66</v>
      </c>
      <c r="AS7" s="3">
        <v>1</v>
      </c>
      <c r="AT7" s="3">
        <v>1</v>
      </c>
      <c r="AU7" s="3">
        <v>1</v>
      </c>
      <c r="AV7" s="3">
        <v>1</v>
      </c>
      <c r="AW7" s="3">
        <v>1</v>
      </c>
      <c r="AX7" s="3">
        <v>1</v>
      </c>
      <c r="AY7" s="3">
        <v>1</v>
      </c>
      <c r="AZ7" s="3">
        <v>1</v>
      </c>
      <c r="BA7" s="3">
        <v>1</v>
      </c>
      <c r="BB7" s="8">
        <v>1</v>
      </c>
    </row>
    <row r="8" spans="1:54" ht="41.4" customHeight="1" x14ac:dyDescent="0.3">
      <c r="A8" s="7">
        <f t="shared" si="0"/>
        <v>7</v>
      </c>
      <c r="B8" s="4" t="s">
        <v>2</v>
      </c>
      <c r="C8" s="4" t="s">
        <v>6</v>
      </c>
      <c r="D8" s="4" t="s">
        <v>13</v>
      </c>
      <c r="E8" s="4" t="s">
        <v>14</v>
      </c>
      <c r="F8" s="4" t="s">
        <v>21</v>
      </c>
      <c r="G8" s="4" t="s">
        <v>102</v>
      </c>
      <c r="H8" s="4" t="s">
        <v>70</v>
      </c>
      <c r="I8" s="4" t="s">
        <v>76</v>
      </c>
      <c r="J8" s="4" t="s">
        <v>59</v>
      </c>
      <c r="K8" s="4" t="s">
        <v>83</v>
      </c>
      <c r="L8" s="5">
        <v>5</v>
      </c>
      <c r="M8" s="5">
        <v>5</v>
      </c>
      <c r="N8" s="5">
        <v>5</v>
      </c>
      <c r="O8" s="5">
        <v>5</v>
      </c>
      <c r="P8" s="4" t="s">
        <v>220</v>
      </c>
      <c r="Q8" s="2" t="s">
        <v>59</v>
      </c>
      <c r="R8" s="5">
        <v>7</v>
      </c>
      <c r="S8" s="5">
        <v>7</v>
      </c>
      <c r="T8" s="5">
        <v>7</v>
      </c>
      <c r="U8" s="5">
        <v>7</v>
      </c>
      <c r="V8" s="5">
        <v>7</v>
      </c>
      <c r="W8" s="5">
        <v>7</v>
      </c>
      <c r="X8" s="5">
        <v>7</v>
      </c>
      <c r="Y8" s="5">
        <v>7</v>
      </c>
      <c r="Z8" s="4" t="s">
        <v>234</v>
      </c>
      <c r="AA8" s="5">
        <v>5</v>
      </c>
      <c r="AB8" s="5">
        <v>5</v>
      </c>
      <c r="AC8" s="5">
        <v>5</v>
      </c>
      <c r="AD8" s="5">
        <v>5</v>
      </c>
      <c r="AE8" s="5">
        <v>5</v>
      </c>
      <c r="AF8" s="4" t="s">
        <v>97</v>
      </c>
      <c r="AG8" s="4" t="s">
        <v>248</v>
      </c>
      <c r="AH8" s="5">
        <v>5</v>
      </c>
      <c r="AI8" s="5">
        <v>5</v>
      </c>
      <c r="AJ8" s="5">
        <v>5</v>
      </c>
      <c r="AK8" s="5">
        <v>5</v>
      </c>
      <c r="AL8" s="5">
        <v>5</v>
      </c>
      <c r="AM8" s="5">
        <v>5</v>
      </c>
      <c r="AN8" s="5">
        <v>5</v>
      </c>
      <c r="AO8" s="4" t="s">
        <v>104</v>
      </c>
      <c r="AP8" s="4" t="s">
        <v>64</v>
      </c>
      <c r="AQ8" s="4" t="s">
        <v>76</v>
      </c>
      <c r="AR8" s="4" t="s">
        <v>105</v>
      </c>
      <c r="AS8" s="5">
        <v>1</v>
      </c>
      <c r="AT8" s="5">
        <v>1</v>
      </c>
      <c r="AU8" s="5">
        <v>1</v>
      </c>
      <c r="AV8" s="5">
        <v>1</v>
      </c>
      <c r="AW8" s="5">
        <v>1</v>
      </c>
      <c r="AX8" s="5">
        <v>1</v>
      </c>
      <c r="AY8" s="5">
        <v>1</v>
      </c>
      <c r="AZ8" s="5">
        <v>1</v>
      </c>
      <c r="BA8" s="5">
        <v>1</v>
      </c>
      <c r="BB8" s="9">
        <v>1</v>
      </c>
    </row>
    <row r="9" spans="1:54" ht="41.4" customHeight="1" x14ac:dyDescent="0.3">
      <c r="A9" s="7">
        <f t="shared" si="0"/>
        <v>8</v>
      </c>
      <c r="B9" s="4" t="s">
        <v>3</v>
      </c>
      <c r="C9" s="4" t="s">
        <v>6</v>
      </c>
      <c r="D9" s="4" t="s">
        <v>10</v>
      </c>
      <c r="E9" s="4" t="s">
        <v>17</v>
      </c>
      <c r="F9" s="4" t="s">
        <v>21</v>
      </c>
      <c r="G9" s="4" t="s">
        <v>56</v>
      </c>
      <c r="H9" s="4" t="s">
        <v>57</v>
      </c>
      <c r="I9" s="4" t="s">
        <v>58</v>
      </c>
      <c r="J9" s="4" t="s">
        <v>59</v>
      </c>
      <c r="K9" s="4" t="s">
        <v>83</v>
      </c>
      <c r="L9" s="5">
        <v>4</v>
      </c>
      <c r="M9" s="5">
        <v>4</v>
      </c>
      <c r="N9" s="5">
        <v>4</v>
      </c>
      <c r="O9" s="5">
        <v>4</v>
      </c>
      <c r="P9" s="4" t="s">
        <v>221</v>
      </c>
      <c r="Q9" s="4" t="s">
        <v>227</v>
      </c>
      <c r="R9" s="5">
        <v>3</v>
      </c>
      <c r="S9" s="5">
        <v>3</v>
      </c>
      <c r="T9" s="5">
        <v>3</v>
      </c>
      <c r="U9" s="5">
        <v>3</v>
      </c>
      <c r="V9" s="5">
        <v>3</v>
      </c>
      <c r="W9" s="5">
        <v>3</v>
      </c>
      <c r="X9" s="5">
        <v>3</v>
      </c>
      <c r="Y9" s="5">
        <v>3</v>
      </c>
      <c r="Z9" s="4" t="s">
        <v>229</v>
      </c>
      <c r="AA9" s="5">
        <v>3</v>
      </c>
      <c r="AB9" s="5">
        <v>3</v>
      </c>
      <c r="AC9" s="5">
        <v>3</v>
      </c>
      <c r="AD9" s="5">
        <v>3</v>
      </c>
      <c r="AE9" s="5">
        <v>4</v>
      </c>
      <c r="AF9" s="4" t="s">
        <v>97</v>
      </c>
      <c r="AG9" s="4" t="s">
        <v>251</v>
      </c>
      <c r="AH9" s="5">
        <v>3</v>
      </c>
      <c r="AI9" s="5">
        <v>3</v>
      </c>
      <c r="AJ9" s="5">
        <v>3</v>
      </c>
      <c r="AK9" s="5">
        <v>3</v>
      </c>
      <c r="AL9" s="5">
        <v>3</v>
      </c>
      <c r="AM9" s="5">
        <v>3</v>
      </c>
      <c r="AN9" s="5">
        <v>3</v>
      </c>
      <c r="AO9" s="4" t="s">
        <v>107</v>
      </c>
      <c r="AP9" s="4" t="s">
        <v>96</v>
      </c>
      <c r="AQ9" s="4" t="s">
        <v>58</v>
      </c>
      <c r="AR9" s="4" t="s">
        <v>69</v>
      </c>
      <c r="AS9" s="5">
        <v>1</v>
      </c>
      <c r="AT9" s="5">
        <v>1</v>
      </c>
      <c r="AU9" s="5">
        <v>2</v>
      </c>
      <c r="AV9" s="5">
        <v>2</v>
      </c>
      <c r="AW9" s="5">
        <v>2</v>
      </c>
      <c r="AX9" s="5">
        <v>2</v>
      </c>
      <c r="AY9" s="5">
        <v>1</v>
      </c>
      <c r="AZ9" s="5">
        <v>2</v>
      </c>
      <c r="BA9" s="5">
        <v>3</v>
      </c>
      <c r="BB9" s="9">
        <v>1</v>
      </c>
    </row>
    <row r="10" spans="1:54" ht="41.4" customHeight="1" x14ac:dyDescent="0.3">
      <c r="A10" s="7">
        <f t="shared" si="0"/>
        <v>9</v>
      </c>
      <c r="B10" s="4" t="s">
        <v>3</v>
      </c>
      <c r="C10" s="4" t="s">
        <v>6</v>
      </c>
      <c r="D10" s="4" t="s">
        <v>13</v>
      </c>
      <c r="E10" s="4" t="s">
        <v>17</v>
      </c>
      <c r="F10" s="4" t="s">
        <v>21</v>
      </c>
      <c r="G10" s="4" t="s">
        <v>108</v>
      </c>
      <c r="H10" s="4" t="s">
        <v>70</v>
      </c>
      <c r="I10" s="4" t="s">
        <v>58</v>
      </c>
      <c r="J10" s="4" t="s">
        <v>175</v>
      </c>
      <c r="K10" s="4" t="s">
        <v>83</v>
      </c>
      <c r="L10" s="5">
        <v>3</v>
      </c>
      <c r="M10" s="5">
        <v>3</v>
      </c>
      <c r="N10" s="5">
        <v>3</v>
      </c>
      <c r="O10" s="5">
        <v>3</v>
      </c>
      <c r="P10" s="4" t="s">
        <v>221</v>
      </c>
      <c r="Q10" s="4" t="s">
        <v>227</v>
      </c>
      <c r="R10" s="5">
        <v>3</v>
      </c>
      <c r="S10" s="5">
        <v>3</v>
      </c>
      <c r="T10" s="5">
        <v>3</v>
      </c>
      <c r="U10" s="5">
        <v>2</v>
      </c>
      <c r="V10" s="5">
        <v>1</v>
      </c>
      <c r="W10" s="5">
        <v>2</v>
      </c>
      <c r="X10" s="5">
        <v>1</v>
      </c>
      <c r="Y10" s="5">
        <v>3</v>
      </c>
      <c r="Z10" s="4" t="s">
        <v>235</v>
      </c>
      <c r="AA10" s="5">
        <v>3</v>
      </c>
      <c r="AB10" s="5">
        <v>3</v>
      </c>
      <c r="AC10" s="5">
        <v>3</v>
      </c>
      <c r="AD10" s="5">
        <v>3</v>
      </c>
      <c r="AE10" s="5">
        <v>3</v>
      </c>
      <c r="AF10" s="4" t="s">
        <v>68</v>
      </c>
      <c r="AG10" s="4" t="s">
        <v>252</v>
      </c>
      <c r="AH10" s="5">
        <v>5</v>
      </c>
      <c r="AI10" s="5">
        <v>5</v>
      </c>
      <c r="AJ10" s="5">
        <v>5</v>
      </c>
      <c r="AK10" s="5">
        <v>3</v>
      </c>
      <c r="AL10" s="5">
        <v>3</v>
      </c>
      <c r="AM10" s="5">
        <v>3</v>
      </c>
      <c r="AN10" s="5">
        <v>2</v>
      </c>
      <c r="AO10" s="4" t="s">
        <v>109</v>
      </c>
      <c r="AP10" s="4" t="s">
        <v>91</v>
      </c>
      <c r="AQ10" s="4" t="s">
        <v>76</v>
      </c>
      <c r="AR10" s="4" t="s">
        <v>110</v>
      </c>
      <c r="AS10" s="5">
        <v>4</v>
      </c>
      <c r="AT10" s="5">
        <v>5</v>
      </c>
      <c r="AU10" s="5">
        <v>3</v>
      </c>
      <c r="AV10" s="5">
        <v>3</v>
      </c>
      <c r="AW10" s="5">
        <v>3</v>
      </c>
      <c r="AX10" s="5">
        <v>2</v>
      </c>
      <c r="AY10" s="5">
        <v>2</v>
      </c>
      <c r="AZ10" s="5">
        <v>4</v>
      </c>
      <c r="BA10" s="5">
        <v>2</v>
      </c>
      <c r="BB10" s="9">
        <v>4</v>
      </c>
    </row>
    <row r="11" spans="1:54" ht="41.4" customHeight="1" x14ac:dyDescent="0.3">
      <c r="A11" s="7">
        <f t="shared" si="0"/>
        <v>10</v>
      </c>
      <c r="B11" s="6" t="s">
        <v>3</v>
      </c>
      <c r="C11" s="6" t="s">
        <v>6</v>
      </c>
      <c r="D11" s="6" t="s">
        <v>13</v>
      </c>
      <c r="E11" s="6" t="s">
        <v>17</v>
      </c>
      <c r="F11" s="6" t="s">
        <v>22</v>
      </c>
      <c r="G11" s="6" t="s">
        <v>56</v>
      </c>
      <c r="H11" s="6" t="s">
        <v>57</v>
      </c>
      <c r="I11" s="6" t="s">
        <v>71</v>
      </c>
      <c r="J11" s="6" t="s">
        <v>82</v>
      </c>
      <c r="K11" s="6" t="s">
        <v>83</v>
      </c>
      <c r="L11" s="6">
        <v>5</v>
      </c>
      <c r="M11" s="6">
        <v>5</v>
      </c>
      <c r="N11" s="6">
        <v>4</v>
      </c>
      <c r="O11" s="6">
        <v>5</v>
      </c>
      <c r="P11" s="6" t="s">
        <v>222</v>
      </c>
      <c r="Q11" s="6" t="s">
        <v>227</v>
      </c>
      <c r="R11" s="6">
        <v>6</v>
      </c>
      <c r="S11" s="6">
        <v>7</v>
      </c>
      <c r="T11" s="6">
        <v>5</v>
      </c>
      <c r="U11" s="6">
        <v>4</v>
      </c>
      <c r="V11" s="6">
        <v>6</v>
      </c>
      <c r="W11" s="6">
        <v>5</v>
      </c>
      <c r="X11" s="6">
        <v>6</v>
      </c>
      <c r="Y11" s="6">
        <v>7</v>
      </c>
      <c r="Z11" s="6" t="s">
        <v>236</v>
      </c>
      <c r="AA11" s="6">
        <v>5</v>
      </c>
      <c r="AB11" s="6">
        <v>4</v>
      </c>
      <c r="AC11" s="6">
        <v>5</v>
      </c>
      <c r="AD11" s="6">
        <v>4</v>
      </c>
      <c r="AE11" s="6">
        <v>4</v>
      </c>
      <c r="AF11" s="6" t="s">
        <v>86</v>
      </c>
      <c r="AG11" s="6" t="s">
        <v>252</v>
      </c>
      <c r="AH11" s="6">
        <v>4</v>
      </c>
      <c r="AI11" s="6">
        <v>4</v>
      </c>
      <c r="AJ11" s="6">
        <v>3</v>
      </c>
      <c r="AK11" s="6">
        <v>3</v>
      </c>
      <c r="AL11" s="6">
        <v>4</v>
      </c>
      <c r="AM11" s="6">
        <v>4</v>
      </c>
      <c r="AN11" s="6">
        <v>4</v>
      </c>
      <c r="AO11" s="6" t="s">
        <v>101</v>
      </c>
      <c r="AP11" s="6" t="s">
        <v>64</v>
      </c>
      <c r="AQ11" s="6" t="s">
        <v>58</v>
      </c>
      <c r="AR11" s="6" t="s">
        <v>112</v>
      </c>
      <c r="AS11" s="6">
        <v>3</v>
      </c>
      <c r="AT11" s="6">
        <v>3</v>
      </c>
      <c r="AU11" s="6">
        <v>1</v>
      </c>
      <c r="AV11" s="6">
        <v>2</v>
      </c>
      <c r="AW11" s="6">
        <v>1</v>
      </c>
      <c r="AX11" s="6">
        <v>1</v>
      </c>
      <c r="AY11" s="6">
        <v>1</v>
      </c>
      <c r="AZ11" s="6">
        <v>1</v>
      </c>
      <c r="BA11" s="6">
        <v>2</v>
      </c>
      <c r="BB11" s="10">
        <v>1</v>
      </c>
    </row>
    <row r="12" spans="1:54" ht="41.4" customHeight="1" x14ac:dyDescent="0.3">
      <c r="A12" s="7">
        <f t="shared" si="0"/>
        <v>11</v>
      </c>
      <c r="B12" s="6" t="s">
        <v>4</v>
      </c>
      <c r="C12" s="6" t="s">
        <v>6</v>
      </c>
      <c r="D12" s="6" t="s">
        <v>13</v>
      </c>
      <c r="E12" s="6" t="s">
        <v>17</v>
      </c>
      <c r="F12" s="6" t="s">
        <v>21</v>
      </c>
      <c r="G12" s="6" t="s">
        <v>56</v>
      </c>
      <c r="H12" s="6" t="s">
        <v>70</v>
      </c>
      <c r="I12" s="6" t="s">
        <v>71</v>
      </c>
      <c r="J12" s="6" t="s">
        <v>82</v>
      </c>
      <c r="K12" s="6" t="s">
        <v>83</v>
      </c>
      <c r="L12" s="6">
        <v>3</v>
      </c>
      <c r="M12" s="6">
        <v>3</v>
      </c>
      <c r="N12" s="6">
        <v>4</v>
      </c>
      <c r="O12" s="6">
        <v>4</v>
      </c>
      <c r="P12" s="6" t="s">
        <v>223</v>
      </c>
      <c r="Q12" s="6" t="s">
        <v>227</v>
      </c>
      <c r="R12" s="6">
        <v>5</v>
      </c>
      <c r="S12" s="6">
        <v>6</v>
      </c>
      <c r="T12" s="6">
        <v>5</v>
      </c>
      <c r="U12" s="6">
        <v>7</v>
      </c>
      <c r="V12" s="6">
        <v>7</v>
      </c>
      <c r="W12" s="6">
        <v>7</v>
      </c>
      <c r="X12" s="6">
        <v>2</v>
      </c>
      <c r="Y12" s="6">
        <v>3</v>
      </c>
      <c r="Z12" s="6" t="s">
        <v>113</v>
      </c>
      <c r="AA12" s="6">
        <v>5</v>
      </c>
      <c r="AB12" s="6">
        <v>5</v>
      </c>
      <c r="AC12" s="6">
        <v>5</v>
      </c>
      <c r="AD12" s="6">
        <v>3</v>
      </c>
      <c r="AE12" s="6">
        <v>4</v>
      </c>
      <c r="AF12" s="6" t="s">
        <v>62</v>
      </c>
      <c r="AG12" s="6" t="s">
        <v>252</v>
      </c>
      <c r="AH12" s="6">
        <v>4</v>
      </c>
      <c r="AI12" s="6">
        <v>3</v>
      </c>
      <c r="AJ12" s="6">
        <v>5</v>
      </c>
      <c r="AK12" s="6">
        <v>5</v>
      </c>
      <c r="AL12" s="6">
        <v>5</v>
      </c>
      <c r="AM12" s="6">
        <v>5</v>
      </c>
      <c r="AN12" s="6">
        <v>3</v>
      </c>
      <c r="AO12" s="6" t="s">
        <v>114</v>
      </c>
      <c r="AP12" s="6" t="s">
        <v>96</v>
      </c>
      <c r="AQ12" s="6" t="s">
        <v>76</v>
      </c>
      <c r="AR12" s="6" t="s">
        <v>115</v>
      </c>
      <c r="AS12" s="6">
        <v>1</v>
      </c>
      <c r="AT12" s="6">
        <v>2</v>
      </c>
      <c r="AU12" s="6">
        <v>2</v>
      </c>
      <c r="AV12" s="6">
        <v>1</v>
      </c>
      <c r="AW12" s="6">
        <v>1</v>
      </c>
      <c r="AX12" s="6">
        <v>1</v>
      </c>
      <c r="AY12" s="6">
        <v>1</v>
      </c>
      <c r="AZ12" s="6">
        <v>1</v>
      </c>
      <c r="BA12" s="6">
        <v>2</v>
      </c>
      <c r="BB12" s="10">
        <v>2</v>
      </c>
    </row>
    <row r="13" spans="1:54" ht="41.4" customHeight="1" x14ac:dyDescent="0.3">
      <c r="A13" s="7">
        <f t="shared" si="0"/>
        <v>12</v>
      </c>
      <c r="B13" s="6" t="s">
        <v>4</v>
      </c>
      <c r="C13" s="6" t="s">
        <v>6</v>
      </c>
      <c r="D13" s="6" t="s">
        <v>13</v>
      </c>
      <c r="E13" s="6" t="s">
        <v>128</v>
      </c>
      <c r="F13" s="6" t="s">
        <v>21</v>
      </c>
      <c r="G13" s="6" t="s">
        <v>56</v>
      </c>
      <c r="H13" s="6" t="s">
        <v>57</v>
      </c>
      <c r="I13" s="6" t="s">
        <v>58</v>
      </c>
      <c r="J13" s="6" t="s">
        <v>82</v>
      </c>
      <c r="K13" s="6" t="s">
        <v>83</v>
      </c>
      <c r="L13" s="6">
        <v>3</v>
      </c>
      <c r="M13" s="6">
        <v>4</v>
      </c>
      <c r="N13" s="6">
        <v>4</v>
      </c>
      <c r="O13" s="6">
        <v>5</v>
      </c>
      <c r="P13" s="6" t="s">
        <v>224</v>
      </c>
      <c r="Q13" s="6" t="s">
        <v>73</v>
      </c>
      <c r="R13" s="6">
        <v>5</v>
      </c>
      <c r="S13" s="6">
        <v>6</v>
      </c>
      <c r="T13" s="6">
        <v>6</v>
      </c>
      <c r="U13" s="6">
        <v>7</v>
      </c>
      <c r="V13" s="6">
        <v>2</v>
      </c>
      <c r="W13" s="6">
        <v>3</v>
      </c>
      <c r="X13" s="6">
        <v>4</v>
      </c>
      <c r="Y13" s="6">
        <v>5</v>
      </c>
      <c r="Z13" s="6" t="s">
        <v>116</v>
      </c>
      <c r="AA13" s="6">
        <v>5</v>
      </c>
      <c r="AB13" s="6">
        <v>3</v>
      </c>
      <c r="AC13" s="6">
        <v>4</v>
      </c>
      <c r="AD13" s="6">
        <v>2</v>
      </c>
      <c r="AE13" s="6">
        <v>3</v>
      </c>
      <c r="AF13" s="6" t="s">
        <v>86</v>
      </c>
      <c r="AG13" s="6" t="s">
        <v>252</v>
      </c>
      <c r="AH13" s="6">
        <v>2</v>
      </c>
      <c r="AI13" s="6">
        <v>2</v>
      </c>
      <c r="AJ13" s="6">
        <v>5</v>
      </c>
      <c r="AK13" s="6">
        <v>4</v>
      </c>
      <c r="AL13" s="6">
        <v>2</v>
      </c>
      <c r="AM13" s="6">
        <v>5</v>
      </c>
      <c r="AN13" s="6">
        <v>4</v>
      </c>
      <c r="AO13" s="6" t="s">
        <v>117</v>
      </c>
      <c r="AP13" s="6" t="s">
        <v>96</v>
      </c>
      <c r="AQ13" s="6" t="s">
        <v>76</v>
      </c>
      <c r="AR13" s="6" t="s">
        <v>118</v>
      </c>
      <c r="AS13" s="6">
        <v>3</v>
      </c>
      <c r="AT13" s="6">
        <v>1</v>
      </c>
      <c r="AU13" s="6">
        <v>3</v>
      </c>
      <c r="AV13" s="6">
        <v>2</v>
      </c>
      <c r="AW13" s="6">
        <v>3</v>
      </c>
      <c r="AX13" s="6">
        <v>1</v>
      </c>
      <c r="AY13" s="6">
        <v>1</v>
      </c>
      <c r="AZ13" s="6">
        <v>3</v>
      </c>
      <c r="BA13" s="6">
        <v>2</v>
      </c>
      <c r="BB13" s="10">
        <v>4</v>
      </c>
    </row>
    <row r="14" spans="1:54" ht="41.4" customHeight="1" x14ac:dyDescent="0.3">
      <c r="A14" s="7">
        <f t="shared" si="0"/>
        <v>13</v>
      </c>
      <c r="B14" s="6" t="s">
        <v>4</v>
      </c>
      <c r="C14" s="6" t="s">
        <v>6</v>
      </c>
      <c r="D14" s="6" t="s">
        <v>10</v>
      </c>
      <c r="E14" s="6" t="s">
        <v>17</v>
      </c>
      <c r="F14" s="6" t="s">
        <v>21</v>
      </c>
      <c r="G14" s="6" t="s">
        <v>56</v>
      </c>
      <c r="H14" s="6" t="s">
        <v>75</v>
      </c>
      <c r="I14" s="6" t="s">
        <v>71</v>
      </c>
      <c r="J14" s="6" t="s">
        <v>175</v>
      </c>
      <c r="K14" s="6" t="s">
        <v>67</v>
      </c>
      <c r="L14" s="6">
        <v>4</v>
      </c>
      <c r="M14" s="6">
        <v>2</v>
      </c>
      <c r="N14" s="6">
        <v>4</v>
      </c>
      <c r="O14" s="6">
        <v>4</v>
      </c>
      <c r="P14" s="6" t="s">
        <v>225</v>
      </c>
      <c r="Q14" s="6" t="s">
        <v>89</v>
      </c>
      <c r="R14" s="6">
        <v>7</v>
      </c>
      <c r="S14" s="6">
        <v>5</v>
      </c>
      <c r="T14" s="6">
        <v>3</v>
      </c>
      <c r="U14" s="6">
        <v>5</v>
      </c>
      <c r="V14" s="6">
        <v>5</v>
      </c>
      <c r="W14" s="6">
        <v>5</v>
      </c>
      <c r="X14" s="6">
        <v>2</v>
      </c>
      <c r="Y14" s="6">
        <v>2</v>
      </c>
      <c r="Z14" s="6" t="s">
        <v>237</v>
      </c>
      <c r="AA14" s="6">
        <v>5</v>
      </c>
      <c r="AB14" s="6">
        <v>4</v>
      </c>
      <c r="AC14" s="6">
        <v>4</v>
      </c>
      <c r="AD14" s="6">
        <v>4</v>
      </c>
      <c r="AE14" s="6">
        <v>4</v>
      </c>
      <c r="AF14" s="6" t="s">
        <v>62</v>
      </c>
      <c r="AG14" s="6" t="s">
        <v>252</v>
      </c>
      <c r="AH14" s="6">
        <v>5</v>
      </c>
      <c r="AI14" s="6">
        <v>3</v>
      </c>
      <c r="AJ14" s="6">
        <v>4</v>
      </c>
      <c r="AK14" s="6">
        <v>4</v>
      </c>
      <c r="AL14" s="6">
        <v>3</v>
      </c>
      <c r="AM14" s="6">
        <v>3</v>
      </c>
      <c r="AN14" s="6">
        <v>4</v>
      </c>
      <c r="AO14" s="6" t="s">
        <v>119</v>
      </c>
      <c r="AP14" s="6" t="s">
        <v>91</v>
      </c>
      <c r="AQ14" s="6" t="s">
        <v>58</v>
      </c>
      <c r="AR14" s="6" t="s">
        <v>118</v>
      </c>
      <c r="AS14" s="6">
        <v>3</v>
      </c>
      <c r="AT14" s="6">
        <v>3</v>
      </c>
      <c r="AU14" s="6">
        <v>5</v>
      </c>
      <c r="AV14" s="6">
        <v>3</v>
      </c>
      <c r="AW14" s="6">
        <v>3</v>
      </c>
      <c r="AX14" s="6">
        <v>5</v>
      </c>
      <c r="AY14" s="6">
        <v>5</v>
      </c>
      <c r="AZ14" s="6">
        <v>2</v>
      </c>
      <c r="BA14" s="6">
        <v>4</v>
      </c>
      <c r="BB14" s="10">
        <v>4</v>
      </c>
    </row>
    <row r="15" spans="1:54" ht="41.4" customHeight="1" x14ac:dyDescent="0.3">
      <c r="A15" s="7">
        <f t="shared" si="0"/>
        <v>14</v>
      </c>
      <c r="B15" s="6" t="s">
        <v>3</v>
      </c>
      <c r="C15" s="6" t="s">
        <v>7</v>
      </c>
      <c r="D15" s="6" t="s">
        <v>10</v>
      </c>
      <c r="E15" s="6" t="s">
        <v>17</v>
      </c>
      <c r="F15" s="6" t="s">
        <v>23</v>
      </c>
      <c r="G15" s="6" t="s">
        <v>56</v>
      </c>
      <c r="H15" s="6" t="s">
        <v>75</v>
      </c>
      <c r="I15" s="6" t="s">
        <v>58</v>
      </c>
      <c r="J15" s="6" t="s">
        <v>175</v>
      </c>
      <c r="K15" s="6" t="s">
        <v>83</v>
      </c>
      <c r="L15" s="6">
        <v>3</v>
      </c>
      <c r="M15" s="6">
        <v>3</v>
      </c>
      <c r="N15" s="6">
        <v>4</v>
      </c>
      <c r="O15" s="6">
        <v>4</v>
      </c>
      <c r="P15" s="6" t="s">
        <v>226</v>
      </c>
      <c r="Q15" s="6" t="s">
        <v>89</v>
      </c>
      <c r="R15" s="6">
        <v>6</v>
      </c>
      <c r="S15" s="6">
        <v>6</v>
      </c>
      <c r="T15" s="6">
        <v>7</v>
      </c>
      <c r="U15" s="6">
        <v>4</v>
      </c>
      <c r="V15" s="6">
        <v>4</v>
      </c>
      <c r="W15" s="6">
        <v>4</v>
      </c>
      <c r="X15" s="6">
        <v>5</v>
      </c>
      <c r="Y15" s="6">
        <v>4</v>
      </c>
      <c r="Z15" s="6" t="s">
        <v>121</v>
      </c>
      <c r="AA15" s="6">
        <v>4</v>
      </c>
      <c r="AB15" s="6">
        <v>5</v>
      </c>
      <c r="AC15" s="6">
        <v>5</v>
      </c>
      <c r="AD15" s="6">
        <v>4</v>
      </c>
      <c r="AE15" s="6">
        <v>5</v>
      </c>
      <c r="AF15" s="6" t="s">
        <v>68</v>
      </c>
      <c r="AG15" s="6" t="s">
        <v>252</v>
      </c>
      <c r="AH15" s="6">
        <v>4</v>
      </c>
      <c r="AI15" s="6">
        <v>5</v>
      </c>
      <c r="AJ15" s="6">
        <v>3</v>
      </c>
      <c r="AK15" s="6">
        <v>4</v>
      </c>
      <c r="AL15" s="6">
        <v>3</v>
      </c>
      <c r="AM15" s="6">
        <v>4</v>
      </c>
      <c r="AN15" s="6">
        <v>3</v>
      </c>
      <c r="AO15" s="6" t="s">
        <v>122</v>
      </c>
      <c r="AP15" s="6" t="s">
        <v>64</v>
      </c>
      <c r="AQ15" s="6" t="s">
        <v>76</v>
      </c>
      <c r="AR15" s="6" t="s">
        <v>123</v>
      </c>
      <c r="AS15" s="6">
        <v>3</v>
      </c>
      <c r="AT15" s="6">
        <v>3</v>
      </c>
      <c r="AU15" s="6">
        <v>1</v>
      </c>
      <c r="AV15" s="6">
        <v>2</v>
      </c>
      <c r="AW15" s="6">
        <v>2</v>
      </c>
      <c r="AX15" s="6">
        <v>2</v>
      </c>
      <c r="AY15" s="6">
        <v>4</v>
      </c>
      <c r="AZ15" s="6">
        <v>2</v>
      </c>
      <c r="BA15" s="6">
        <v>3</v>
      </c>
      <c r="BB15" s="10">
        <v>4</v>
      </c>
    </row>
    <row r="16" spans="1:54" ht="41.4" customHeight="1" x14ac:dyDescent="0.3">
      <c r="A16" s="7">
        <f t="shared" si="0"/>
        <v>15</v>
      </c>
      <c r="B16" s="6" t="s">
        <v>4</v>
      </c>
      <c r="C16" s="6" t="s">
        <v>6</v>
      </c>
      <c r="D16" s="6" t="s">
        <v>16</v>
      </c>
      <c r="E16" s="6" t="s">
        <v>124</v>
      </c>
      <c r="F16" s="6" t="s">
        <v>21</v>
      </c>
      <c r="G16" s="6" t="s">
        <v>56</v>
      </c>
      <c r="H16" s="6" t="s">
        <v>57</v>
      </c>
      <c r="I16" s="6" t="s">
        <v>106</v>
      </c>
      <c r="J16" s="6" t="s">
        <v>82</v>
      </c>
      <c r="K16" s="6" t="s">
        <v>72</v>
      </c>
      <c r="L16" s="6">
        <v>3</v>
      </c>
      <c r="M16" s="6">
        <v>4</v>
      </c>
      <c r="N16" s="6">
        <v>5</v>
      </c>
      <c r="O16" s="6">
        <v>5</v>
      </c>
      <c r="P16" s="6" t="s">
        <v>224</v>
      </c>
      <c r="Q16" s="6" t="s">
        <v>227</v>
      </c>
      <c r="R16" s="6">
        <v>6</v>
      </c>
      <c r="S16" s="6">
        <v>7</v>
      </c>
      <c r="T16" s="6">
        <v>6</v>
      </c>
      <c r="U16" s="6">
        <v>7</v>
      </c>
      <c r="V16" s="6">
        <v>7</v>
      </c>
      <c r="W16" s="6">
        <v>6</v>
      </c>
      <c r="X16" s="6">
        <v>5</v>
      </c>
      <c r="Y16" s="6">
        <v>6</v>
      </c>
      <c r="Z16" s="6" t="s">
        <v>238</v>
      </c>
      <c r="AA16" s="6">
        <v>4</v>
      </c>
      <c r="AB16" s="6">
        <v>5</v>
      </c>
      <c r="AC16" s="6">
        <v>4</v>
      </c>
      <c r="AD16" s="6">
        <v>5</v>
      </c>
      <c r="AE16" s="6">
        <v>5</v>
      </c>
      <c r="AF16" s="6" t="s">
        <v>68</v>
      </c>
      <c r="AG16" s="6" t="s">
        <v>125</v>
      </c>
      <c r="AH16" s="6">
        <v>4</v>
      </c>
      <c r="AI16" s="6">
        <v>5</v>
      </c>
      <c r="AJ16" s="6">
        <v>5</v>
      </c>
      <c r="AK16" s="6">
        <v>4</v>
      </c>
      <c r="AL16" s="6">
        <v>5</v>
      </c>
      <c r="AM16" s="6">
        <v>5</v>
      </c>
      <c r="AN16" s="6">
        <v>5</v>
      </c>
      <c r="AO16" s="6" t="s">
        <v>90</v>
      </c>
      <c r="AP16" s="6" t="s">
        <v>91</v>
      </c>
      <c r="AQ16" s="6" t="s">
        <v>58</v>
      </c>
      <c r="AR16" s="6" t="s">
        <v>118</v>
      </c>
      <c r="AS16" s="6">
        <v>5</v>
      </c>
      <c r="AT16" s="6">
        <v>4</v>
      </c>
      <c r="AU16" s="6">
        <v>4</v>
      </c>
      <c r="AV16" s="6">
        <v>4</v>
      </c>
      <c r="AW16" s="6">
        <v>5</v>
      </c>
      <c r="AX16" s="6">
        <v>4</v>
      </c>
      <c r="AY16" s="6">
        <v>5</v>
      </c>
      <c r="AZ16" s="6">
        <v>4</v>
      </c>
      <c r="BA16" s="6">
        <v>5</v>
      </c>
      <c r="BB16" s="10">
        <v>4</v>
      </c>
    </row>
    <row r="17" spans="1:54" ht="41.4" customHeight="1" x14ac:dyDescent="0.3">
      <c r="A17" s="7">
        <f t="shared" si="0"/>
        <v>16</v>
      </c>
      <c r="B17" s="6" t="s">
        <v>1</v>
      </c>
      <c r="C17" s="6" t="s">
        <v>6</v>
      </c>
      <c r="D17" s="6" t="s">
        <v>10</v>
      </c>
      <c r="E17" s="6" t="s">
        <v>126</v>
      </c>
      <c r="F17" s="6" t="s">
        <v>20</v>
      </c>
      <c r="G17" s="6" t="s">
        <v>56</v>
      </c>
      <c r="H17" s="6" t="s">
        <v>70</v>
      </c>
      <c r="I17" s="6" t="s">
        <v>71</v>
      </c>
      <c r="J17" s="6" t="s">
        <v>82</v>
      </c>
      <c r="K17" s="6" t="s">
        <v>60</v>
      </c>
      <c r="L17" s="6">
        <v>5</v>
      </c>
      <c r="M17" s="6">
        <v>5</v>
      </c>
      <c r="N17" s="6">
        <v>3</v>
      </c>
      <c r="O17" s="6">
        <v>4</v>
      </c>
      <c r="P17" s="6" t="s">
        <v>222</v>
      </c>
      <c r="Q17" s="6" t="s">
        <v>227</v>
      </c>
      <c r="R17" s="6">
        <v>4</v>
      </c>
      <c r="S17" s="6">
        <v>6</v>
      </c>
      <c r="T17" s="6">
        <v>3</v>
      </c>
      <c r="U17" s="6">
        <v>2</v>
      </c>
      <c r="V17" s="6">
        <v>2</v>
      </c>
      <c r="W17" s="6">
        <v>5</v>
      </c>
      <c r="X17" s="6">
        <v>2</v>
      </c>
      <c r="Y17" s="6">
        <v>2</v>
      </c>
      <c r="Z17" s="6" t="s">
        <v>239</v>
      </c>
      <c r="AA17" s="6">
        <v>5</v>
      </c>
      <c r="AB17" s="6">
        <v>5</v>
      </c>
      <c r="AC17" s="6">
        <v>5</v>
      </c>
      <c r="AD17" s="6">
        <v>4</v>
      </c>
      <c r="AE17" s="6">
        <v>5</v>
      </c>
      <c r="AF17" s="6" t="s">
        <v>99</v>
      </c>
      <c r="AG17" s="6" t="s">
        <v>252</v>
      </c>
      <c r="AH17" s="6">
        <v>5</v>
      </c>
      <c r="AI17" s="6">
        <v>4</v>
      </c>
      <c r="AJ17" s="6">
        <v>3</v>
      </c>
      <c r="AK17" s="6">
        <v>5</v>
      </c>
      <c r="AL17" s="6">
        <v>5</v>
      </c>
      <c r="AM17" s="6">
        <v>2</v>
      </c>
      <c r="AN17" s="6">
        <v>5</v>
      </c>
      <c r="AO17" s="6" t="s">
        <v>127</v>
      </c>
      <c r="AP17" s="6" t="s">
        <v>64</v>
      </c>
      <c r="AQ17" s="6" t="s">
        <v>65</v>
      </c>
      <c r="AR17" s="6" t="s">
        <v>112</v>
      </c>
      <c r="AS17" s="6">
        <v>1</v>
      </c>
      <c r="AT17" s="6">
        <v>1</v>
      </c>
      <c r="AU17" s="6">
        <v>3</v>
      </c>
      <c r="AV17" s="6">
        <v>4</v>
      </c>
      <c r="AW17" s="6">
        <v>1</v>
      </c>
      <c r="AX17" s="6">
        <v>1</v>
      </c>
      <c r="AY17" s="6">
        <v>1</v>
      </c>
      <c r="AZ17" s="6">
        <v>1</v>
      </c>
      <c r="BA17" s="6">
        <v>1</v>
      </c>
      <c r="BB17" s="10">
        <v>2</v>
      </c>
    </row>
    <row r="18" spans="1:54" ht="41.4" customHeight="1" x14ac:dyDescent="0.3">
      <c r="A18" s="7">
        <f t="shared" si="0"/>
        <v>17</v>
      </c>
      <c r="B18" s="6" t="s">
        <v>4</v>
      </c>
      <c r="C18" s="6" t="s">
        <v>6</v>
      </c>
      <c r="D18" s="6" t="s">
        <v>13</v>
      </c>
      <c r="E18" s="6" t="s">
        <v>128</v>
      </c>
      <c r="F18" s="6" t="s">
        <v>21</v>
      </c>
      <c r="G18" s="6" t="s">
        <v>56</v>
      </c>
      <c r="H18" s="6" t="s">
        <v>75</v>
      </c>
      <c r="I18" s="6" t="s">
        <v>71</v>
      </c>
      <c r="J18" s="6" t="s">
        <v>82</v>
      </c>
      <c r="K18" s="6" t="s">
        <v>60</v>
      </c>
      <c r="L18" s="6">
        <v>2</v>
      </c>
      <c r="M18" s="6">
        <v>2</v>
      </c>
      <c r="N18" s="6">
        <v>3</v>
      </c>
      <c r="O18" s="6">
        <v>3</v>
      </c>
      <c r="P18" s="6" t="s">
        <v>226</v>
      </c>
      <c r="Q18" s="6" t="s">
        <v>73</v>
      </c>
      <c r="R18" s="6">
        <v>3</v>
      </c>
      <c r="S18" s="6">
        <v>2</v>
      </c>
      <c r="T18" s="6">
        <v>2</v>
      </c>
      <c r="U18" s="6">
        <v>3</v>
      </c>
      <c r="V18" s="6">
        <v>3</v>
      </c>
      <c r="W18" s="6">
        <v>3</v>
      </c>
      <c r="X18" s="6">
        <v>2</v>
      </c>
      <c r="Y18" s="6">
        <v>2</v>
      </c>
      <c r="Z18" s="6" t="s">
        <v>129</v>
      </c>
      <c r="AA18" s="6">
        <v>3</v>
      </c>
      <c r="AB18" s="6">
        <v>2</v>
      </c>
      <c r="AC18" s="6">
        <v>2</v>
      </c>
      <c r="AD18" s="6">
        <v>1</v>
      </c>
      <c r="AE18" s="6">
        <v>2</v>
      </c>
      <c r="AF18" s="6" t="s">
        <v>68</v>
      </c>
      <c r="AG18" s="6" t="s">
        <v>252</v>
      </c>
      <c r="AH18" s="6">
        <v>3</v>
      </c>
      <c r="AI18" s="6">
        <v>1</v>
      </c>
      <c r="AJ18" s="6">
        <v>2</v>
      </c>
      <c r="AK18" s="6">
        <v>3</v>
      </c>
      <c r="AL18" s="6">
        <v>2</v>
      </c>
      <c r="AM18" s="6">
        <v>1</v>
      </c>
      <c r="AN18" s="6">
        <v>1</v>
      </c>
      <c r="AO18" s="6" t="s">
        <v>130</v>
      </c>
      <c r="AP18" s="6" t="s">
        <v>91</v>
      </c>
      <c r="AQ18" s="6" t="s">
        <v>111</v>
      </c>
      <c r="AR18" s="6" t="s">
        <v>95</v>
      </c>
      <c r="AS18" s="6">
        <v>1</v>
      </c>
      <c r="AT18" s="6">
        <v>1</v>
      </c>
      <c r="AU18" s="6">
        <v>5</v>
      </c>
      <c r="AV18" s="6">
        <v>5</v>
      </c>
      <c r="AW18" s="6">
        <v>3</v>
      </c>
      <c r="AX18" s="6">
        <v>2</v>
      </c>
      <c r="AY18" s="6">
        <v>4</v>
      </c>
      <c r="AZ18" s="6">
        <v>3</v>
      </c>
      <c r="BA18" s="6">
        <v>1</v>
      </c>
      <c r="BB18" s="10">
        <v>2</v>
      </c>
    </row>
    <row r="19" spans="1:54" ht="41.4" customHeight="1" x14ac:dyDescent="0.3">
      <c r="A19" s="7">
        <f t="shared" si="0"/>
        <v>18</v>
      </c>
      <c r="B19" s="6" t="s">
        <v>4</v>
      </c>
      <c r="C19" s="6" t="s">
        <v>6</v>
      </c>
      <c r="D19" s="6" t="s">
        <v>13</v>
      </c>
      <c r="E19" s="6" t="s">
        <v>131</v>
      </c>
      <c r="F19" s="6" t="s">
        <v>21</v>
      </c>
      <c r="G19" s="6" t="s">
        <v>56</v>
      </c>
      <c r="H19" s="6" t="s">
        <v>57</v>
      </c>
      <c r="I19" s="6" t="s">
        <v>71</v>
      </c>
      <c r="J19" s="6" t="s">
        <v>82</v>
      </c>
      <c r="K19" s="6" t="s">
        <v>72</v>
      </c>
      <c r="L19" s="6">
        <v>5</v>
      </c>
      <c r="M19" s="6">
        <v>5</v>
      </c>
      <c r="N19" s="6">
        <v>5</v>
      </c>
      <c r="O19" s="6">
        <v>5</v>
      </c>
      <c r="P19" s="6" t="s">
        <v>225</v>
      </c>
      <c r="Q19" s="6" t="s">
        <v>227</v>
      </c>
      <c r="R19" s="6">
        <v>4</v>
      </c>
      <c r="S19" s="6">
        <v>7</v>
      </c>
      <c r="T19" s="6">
        <v>7</v>
      </c>
      <c r="U19" s="6">
        <v>5</v>
      </c>
      <c r="V19" s="6">
        <v>4</v>
      </c>
      <c r="W19" s="6">
        <v>6</v>
      </c>
      <c r="X19" s="6">
        <v>3</v>
      </c>
      <c r="Y19" s="6">
        <v>3</v>
      </c>
      <c r="Z19" s="6" t="s">
        <v>132</v>
      </c>
      <c r="AA19" s="6">
        <v>5</v>
      </c>
      <c r="AB19" s="6">
        <v>4</v>
      </c>
      <c r="AC19" s="6">
        <v>4</v>
      </c>
      <c r="AD19" s="6">
        <v>5</v>
      </c>
      <c r="AE19" s="6">
        <v>4</v>
      </c>
      <c r="AF19" s="6" t="s">
        <v>99</v>
      </c>
      <c r="AG19" s="6" t="s">
        <v>246</v>
      </c>
      <c r="AH19" s="6">
        <v>4</v>
      </c>
      <c r="AI19" s="6">
        <v>4</v>
      </c>
      <c r="AJ19" s="6">
        <v>4</v>
      </c>
      <c r="AK19" s="6">
        <v>5</v>
      </c>
      <c r="AL19" s="6">
        <v>3</v>
      </c>
      <c r="AM19" s="6">
        <v>5</v>
      </c>
      <c r="AN19" s="6">
        <v>2</v>
      </c>
      <c r="AO19" s="6" t="s">
        <v>92</v>
      </c>
      <c r="AP19" s="6" t="s">
        <v>64</v>
      </c>
      <c r="AQ19" s="6" t="s">
        <v>111</v>
      </c>
      <c r="AR19" s="6" t="s">
        <v>133</v>
      </c>
      <c r="AS19" s="6">
        <v>3</v>
      </c>
      <c r="AT19" s="6">
        <v>5</v>
      </c>
      <c r="AU19" s="6">
        <v>4</v>
      </c>
      <c r="AV19" s="6">
        <v>3</v>
      </c>
      <c r="AW19" s="6">
        <v>3</v>
      </c>
      <c r="AX19" s="6">
        <v>2</v>
      </c>
      <c r="AY19" s="6">
        <v>3</v>
      </c>
      <c r="AZ19" s="6">
        <v>5</v>
      </c>
      <c r="BA19" s="6">
        <v>5</v>
      </c>
      <c r="BB19" s="10">
        <v>3</v>
      </c>
    </row>
    <row r="20" spans="1:54" ht="41.4" customHeight="1" x14ac:dyDescent="0.3">
      <c r="A20" s="7">
        <f t="shared" si="0"/>
        <v>19</v>
      </c>
      <c r="B20" s="6" t="s">
        <v>1</v>
      </c>
      <c r="C20" s="6" t="s">
        <v>6</v>
      </c>
      <c r="D20" s="6" t="s">
        <v>13</v>
      </c>
      <c r="E20" s="6" t="s">
        <v>14</v>
      </c>
      <c r="F20" s="6" t="s">
        <v>21</v>
      </c>
      <c r="G20" s="6" t="s">
        <v>56</v>
      </c>
      <c r="H20" s="6" t="s">
        <v>75</v>
      </c>
      <c r="I20" s="6" t="s">
        <v>106</v>
      </c>
      <c r="J20" s="6" t="s">
        <v>82</v>
      </c>
      <c r="K20" s="6" t="s">
        <v>83</v>
      </c>
      <c r="L20" s="6">
        <v>5</v>
      </c>
      <c r="M20" s="6">
        <v>4</v>
      </c>
      <c r="N20" s="6">
        <v>5</v>
      </c>
      <c r="O20" s="6">
        <v>4</v>
      </c>
      <c r="P20" s="6" t="s">
        <v>226</v>
      </c>
      <c r="Q20" s="6" t="s">
        <v>227</v>
      </c>
      <c r="R20" s="6">
        <v>6</v>
      </c>
      <c r="S20" s="6">
        <v>5</v>
      </c>
      <c r="T20" s="6">
        <v>6</v>
      </c>
      <c r="U20" s="6">
        <v>6</v>
      </c>
      <c r="V20" s="6">
        <v>6</v>
      </c>
      <c r="W20" s="6">
        <v>6</v>
      </c>
      <c r="X20" s="6">
        <v>6</v>
      </c>
      <c r="Y20" s="6">
        <v>6</v>
      </c>
      <c r="Z20" s="6" t="s">
        <v>120</v>
      </c>
      <c r="AA20" s="6">
        <v>5</v>
      </c>
      <c r="AB20" s="6">
        <v>5</v>
      </c>
      <c r="AC20" s="6">
        <v>4</v>
      </c>
      <c r="AD20" s="6">
        <v>5</v>
      </c>
      <c r="AE20" s="6">
        <v>4</v>
      </c>
      <c r="AF20" s="6" t="s">
        <v>68</v>
      </c>
      <c r="AG20" s="6" t="s">
        <v>252</v>
      </c>
      <c r="AH20" s="6">
        <v>4</v>
      </c>
      <c r="AI20" s="6">
        <v>4</v>
      </c>
      <c r="AJ20" s="6">
        <v>4</v>
      </c>
      <c r="AK20" s="6">
        <v>4</v>
      </c>
      <c r="AL20" s="6">
        <v>4</v>
      </c>
      <c r="AM20" s="6">
        <v>3</v>
      </c>
      <c r="AN20" s="6">
        <v>4</v>
      </c>
      <c r="AO20" s="6" t="s">
        <v>135</v>
      </c>
      <c r="AP20" s="6" t="s">
        <v>96</v>
      </c>
      <c r="AQ20" s="6" t="s">
        <v>58</v>
      </c>
      <c r="AR20" s="6" t="s">
        <v>118</v>
      </c>
      <c r="AS20" s="6">
        <v>3</v>
      </c>
      <c r="AT20" s="6">
        <v>3</v>
      </c>
      <c r="AU20" s="6">
        <v>2</v>
      </c>
      <c r="AV20" s="6">
        <v>2</v>
      </c>
      <c r="AW20" s="6">
        <v>3</v>
      </c>
      <c r="AX20" s="6">
        <v>2</v>
      </c>
      <c r="AY20" s="6">
        <v>2</v>
      </c>
      <c r="AZ20" s="6">
        <v>2</v>
      </c>
      <c r="BA20" s="6">
        <v>3</v>
      </c>
      <c r="BB20" s="10">
        <v>3</v>
      </c>
    </row>
    <row r="21" spans="1:54" ht="41.4" customHeight="1" x14ac:dyDescent="0.3">
      <c r="A21" s="7">
        <f t="shared" si="0"/>
        <v>20</v>
      </c>
      <c r="B21" s="6" t="s">
        <v>4</v>
      </c>
      <c r="C21" s="6" t="s">
        <v>6</v>
      </c>
      <c r="D21" s="6" t="s">
        <v>10</v>
      </c>
      <c r="E21" s="6" t="s">
        <v>128</v>
      </c>
      <c r="F21" s="6" t="s">
        <v>21</v>
      </c>
      <c r="G21" s="6" t="s">
        <v>56</v>
      </c>
      <c r="H21" s="6" t="s">
        <v>75</v>
      </c>
      <c r="I21" s="6" t="s">
        <v>58</v>
      </c>
      <c r="J21" s="6" t="s">
        <v>82</v>
      </c>
      <c r="K21" s="6" t="s">
        <v>83</v>
      </c>
      <c r="L21" s="6">
        <v>3</v>
      </c>
      <c r="M21" s="6">
        <v>4</v>
      </c>
      <c r="N21" s="6">
        <v>4</v>
      </c>
      <c r="O21" s="6">
        <v>5</v>
      </c>
      <c r="P21" s="6" t="s">
        <v>225</v>
      </c>
      <c r="Q21" s="6" t="s">
        <v>227</v>
      </c>
      <c r="R21" s="6">
        <v>7</v>
      </c>
      <c r="S21" s="6">
        <v>7</v>
      </c>
      <c r="T21" s="6">
        <v>7</v>
      </c>
      <c r="U21" s="6">
        <v>7</v>
      </c>
      <c r="V21" s="6">
        <v>7</v>
      </c>
      <c r="W21" s="6">
        <v>3</v>
      </c>
      <c r="X21" s="6">
        <v>2</v>
      </c>
      <c r="Y21" s="6">
        <v>2</v>
      </c>
      <c r="Z21" s="6" t="s">
        <v>120</v>
      </c>
      <c r="AA21" s="6">
        <v>5</v>
      </c>
      <c r="AB21" s="6">
        <v>5</v>
      </c>
      <c r="AC21" s="6">
        <v>5</v>
      </c>
      <c r="AD21" s="6">
        <v>2</v>
      </c>
      <c r="AE21" s="6">
        <v>3</v>
      </c>
      <c r="AF21" s="6" t="s">
        <v>62</v>
      </c>
      <c r="AG21" s="6" t="s">
        <v>252</v>
      </c>
      <c r="AH21" s="6">
        <v>5</v>
      </c>
      <c r="AI21" s="6">
        <v>1</v>
      </c>
      <c r="AJ21" s="6">
        <v>4</v>
      </c>
      <c r="AK21" s="6">
        <v>4</v>
      </c>
      <c r="AL21" s="6">
        <v>1</v>
      </c>
      <c r="AM21" s="6">
        <v>5</v>
      </c>
      <c r="AN21" s="6">
        <v>5</v>
      </c>
      <c r="AO21" s="6" t="s">
        <v>136</v>
      </c>
      <c r="AP21" s="6" t="s">
        <v>88</v>
      </c>
      <c r="AQ21" s="6" t="s">
        <v>111</v>
      </c>
      <c r="AR21" s="6" t="s">
        <v>134</v>
      </c>
      <c r="AS21" s="6">
        <v>5</v>
      </c>
      <c r="AT21" s="6">
        <v>5</v>
      </c>
      <c r="AU21" s="6">
        <v>1</v>
      </c>
      <c r="AV21" s="6">
        <v>1</v>
      </c>
      <c r="AW21" s="6">
        <v>5</v>
      </c>
      <c r="AX21" s="6">
        <v>5</v>
      </c>
      <c r="AY21" s="6">
        <v>1</v>
      </c>
      <c r="AZ21" s="6">
        <v>1</v>
      </c>
      <c r="BA21" s="6">
        <v>5</v>
      </c>
      <c r="BB21" s="10">
        <v>5</v>
      </c>
    </row>
    <row r="22" spans="1:54" ht="41.4" customHeight="1" x14ac:dyDescent="0.3">
      <c r="A22" s="7">
        <f t="shared" si="0"/>
        <v>21</v>
      </c>
      <c r="B22" s="6" t="s">
        <v>4</v>
      </c>
      <c r="C22" s="6" t="s">
        <v>6</v>
      </c>
      <c r="D22" s="6" t="s">
        <v>13</v>
      </c>
      <c r="E22" s="6" t="s">
        <v>17</v>
      </c>
      <c r="F22" s="6" t="s">
        <v>21</v>
      </c>
      <c r="G22" s="6" t="s">
        <v>56</v>
      </c>
      <c r="H22" s="6" t="s">
        <v>75</v>
      </c>
      <c r="I22" s="6" t="s">
        <v>71</v>
      </c>
      <c r="J22" s="6" t="s">
        <v>82</v>
      </c>
      <c r="K22" s="6" t="s">
        <v>67</v>
      </c>
      <c r="L22" s="6">
        <v>1</v>
      </c>
      <c r="M22" s="6">
        <v>1</v>
      </c>
      <c r="N22" s="6">
        <v>5</v>
      </c>
      <c r="O22" s="6">
        <v>5</v>
      </c>
      <c r="P22" s="6" t="s">
        <v>226</v>
      </c>
      <c r="Q22" s="6" t="s">
        <v>227</v>
      </c>
      <c r="R22" s="6">
        <v>3</v>
      </c>
      <c r="S22" s="6">
        <v>6</v>
      </c>
      <c r="T22" s="6">
        <v>1</v>
      </c>
      <c r="U22" s="6">
        <v>1</v>
      </c>
      <c r="V22" s="6">
        <v>1</v>
      </c>
      <c r="W22" s="6">
        <v>1</v>
      </c>
      <c r="X22" s="6">
        <v>1</v>
      </c>
      <c r="Y22" s="6">
        <v>1</v>
      </c>
      <c r="Z22" s="6" t="s">
        <v>137</v>
      </c>
      <c r="AA22" s="6">
        <v>1</v>
      </c>
      <c r="AB22" s="6">
        <v>2</v>
      </c>
      <c r="AC22" s="6">
        <v>2</v>
      </c>
      <c r="AD22" s="6">
        <v>1</v>
      </c>
      <c r="AE22" s="6">
        <v>1</v>
      </c>
      <c r="AF22" s="6" t="s">
        <v>86</v>
      </c>
      <c r="AG22" s="6" t="s">
        <v>78</v>
      </c>
      <c r="AH22" s="6">
        <v>1</v>
      </c>
      <c r="AI22" s="6">
        <v>1</v>
      </c>
      <c r="AJ22" s="6">
        <v>1</v>
      </c>
      <c r="AK22" s="6">
        <v>1</v>
      </c>
      <c r="AL22" s="6">
        <v>1</v>
      </c>
      <c r="AM22" s="6">
        <v>1</v>
      </c>
      <c r="AN22" s="6">
        <v>1</v>
      </c>
      <c r="AO22" s="6" t="s">
        <v>87</v>
      </c>
      <c r="AP22" s="6" t="s">
        <v>88</v>
      </c>
      <c r="AQ22" s="6" t="s">
        <v>111</v>
      </c>
      <c r="AR22" s="6" t="s">
        <v>134</v>
      </c>
      <c r="AS22" s="6">
        <v>5</v>
      </c>
      <c r="AT22" s="6">
        <v>5</v>
      </c>
      <c r="AU22" s="6">
        <v>5</v>
      </c>
      <c r="AV22" s="6">
        <v>5</v>
      </c>
      <c r="AW22" s="6">
        <v>5</v>
      </c>
      <c r="AX22" s="6">
        <v>5</v>
      </c>
      <c r="AY22" s="6">
        <v>5</v>
      </c>
      <c r="AZ22" s="6">
        <v>1</v>
      </c>
      <c r="BA22" s="6">
        <v>1</v>
      </c>
      <c r="BB22" s="10">
        <v>5</v>
      </c>
    </row>
    <row r="23" spans="1:54" ht="41.4" customHeight="1" x14ac:dyDescent="0.3">
      <c r="A23" s="7">
        <f t="shared" si="0"/>
        <v>22</v>
      </c>
      <c r="B23" s="6" t="s">
        <v>138</v>
      </c>
      <c r="C23" s="6" t="s">
        <v>6</v>
      </c>
      <c r="D23" s="6" t="s">
        <v>13</v>
      </c>
      <c r="E23" s="6" t="s">
        <v>17</v>
      </c>
      <c r="F23" s="6" t="s">
        <v>22</v>
      </c>
      <c r="G23" s="6" t="s">
        <v>139</v>
      </c>
      <c r="H23" s="6" t="s">
        <v>57</v>
      </c>
      <c r="I23" s="6" t="s">
        <v>76</v>
      </c>
      <c r="J23" s="6" t="s">
        <v>175</v>
      </c>
      <c r="K23" s="6" t="s">
        <v>60</v>
      </c>
      <c r="L23" s="6">
        <v>3</v>
      </c>
      <c r="M23" s="6">
        <v>3</v>
      </c>
      <c r="N23" s="6">
        <v>3</v>
      </c>
      <c r="O23" s="6">
        <v>4</v>
      </c>
      <c r="P23" s="6" t="s">
        <v>226</v>
      </c>
      <c r="Q23" s="6" t="s">
        <v>89</v>
      </c>
      <c r="R23" s="6">
        <v>7</v>
      </c>
      <c r="S23" s="6">
        <v>7</v>
      </c>
      <c r="T23" s="6">
        <v>6</v>
      </c>
      <c r="U23" s="6">
        <v>7</v>
      </c>
      <c r="V23" s="6">
        <v>6</v>
      </c>
      <c r="W23" s="6">
        <v>7</v>
      </c>
      <c r="X23" s="6">
        <v>7</v>
      </c>
      <c r="Y23" s="6">
        <v>7</v>
      </c>
      <c r="Z23" s="6" t="s">
        <v>240</v>
      </c>
      <c r="AA23" s="6">
        <v>4</v>
      </c>
      <c r="AB23" s="6">
        <v>3</v>
      </c>
      <c r="AC23" s="6">
        <v>5</v>
      </c>
      <c r="AD23" s="6">
        <v>3</v>
      </c>
      <c r="AE23" s="6">
        <v>2</v>
      </c>
      <c r="AF23" s="6" t="s">
        <v>97</v>
      </c>
      <c r="AG23" s="6" t="s">
        <v>253</v>
      </c>
      <c r="AH23" s="6">
        <v>5</v>
      </c>
      <c r="AI23" s="6">
        <v>4</v>
      </c>
      <c r="AJ23" s="6">
        <v>5</v>
      </c>
      <c r="AK23" s="6">
        <v>1</v>
      </c>
      <c r="AL23" s="6">
        <v>3</v>
      </c>
      <c r="AM23" s="6">
        <v>4</v>
      </c>
      <c r="AN23" s="6">
        <v>5</v>
      </c>
      <c r="AO23" s="6" t="s">
        <v>140</v>
      </c>
      <c r="AP23" s="6" t="s">
        <v>93</v>
      </c>
      <c r="AQ23" s="6" t="s">
        <v>58</v>
      </c>
      <c r="AR23" s="6" t="s">
        <v>141</v>
      </c>
      <c r="AS23" s="6">
        <v>3</v>
      </c>
      <c r="AT23" s="6">
        <v>5</v>
      </c>
      <c r="AU23" s="6">
        <v>1</v>
      </c>
      <c r="AV23" s="6">
        <v>3</v>
      </c>
      <c r="AW23" s="6">
        <v>4</v>
      </c>
      <c r="AX23" s="6">
        <v>2</v>
      </c>
      <c r="AY23" s="6">
        <v>5</v>
      </c>
      <c r="AZ23" s="6">
        <v>5</v>
      </c>
      <c r="BA23" s="6">
        <v>5</v>
      </c>
      <c r="BB23" s="10">
        <v>2</v>
      </c>
    </row>
    <row r="24" spans="1:54" ht="41.4" customHeight="1" x14ac:dyDescent="0.3">
      <c r="A24" s="7">
        <f t="shared" si="0"/>
        <v>23</v>
      </c>
      <c r="B24" s="6" t="s">
        <v>142</v>
      </c>
      <c r="C24" s="6" t="s">
        <v>6</v>
      </c>
      <c r="D24" s="6" t="s">
        <v>13</v>
      </c>
      <c r="E24" s="6" t="s">
        <v>17</v>
      </c>
      <c r="F24" s="6" t="s">
        <v>23</v>
      </c>
      <c r="G24" s="6" t="s">
        <v>56</v>
      </c>
      <c r="H24" s="6" t="s">
        <v>57</v>
      </c>
      <c r="I24" s="6" t="s">
        <v>143</v>
      </c>
      <c r="J24" s="6" t="s">
        <v>59</v>
      </c>
      <c r="K24" s="6" t="s">
        <v>83</v>
      </c>
      <c r="L24" s="6">
        <v>5</v>
      </c>
      <c r="M24" s="6">
        <v>5</v>
      </c>
      <c r="N24" s="6">
        <v>5</v>
      </c>
      <c r="O24" s="6">
        <v>5</v>
      </c>
      <c r="P24" s="6" t="s">
        <v>85</v>
      </c>
      <c r="Q24" s="6" t="s">
        <v>59</v>
      </c>
      <c r="R24" s="6">
        <v>6</v>
      </c>
      <c r="S24" s="6">
        <v>4</v>
      </c>
      <c r="T24" s="6">
        <v>5</v>
      </c>
      <c r="U24" s="6">
        <v>5</v>
      </c>
      <c r="V24" s="6">
        <v>7</v>
      </c>
      <c r="W24" s="6">
        <v>7</v>
      </c>
      <c r="X24" s="6">
        <v>7</v>
      </c>
      <c r="Y24" s="6">
        <v>6</v>
      </c>
      <c r="Z24" s="6" t="s">
        <v>241</v>
      </c>
      <c r="AA24" s="6">
        <v>5</v>
      </c>
      <c r="AB24" s="6">
        <v>5</v>
      </c>
      <c r="AC24" s="6">
        <v>5</v>
      </c>
      <c r="AD24" s="6">
        <v>5</v>
      </c>
      <c r="AE24" s="6">
        <v>5</v>
      </c>
      <c r="AF24" s="6" t="s">
        <v>74</v>
      </c>
      <c r="AG24" s="6" t="s">
        <v>254</v>
      </c>
      <c r="AH24" s="6">
        <v>5</v>
      </c>
      <c r="AI24" s="6">
        <v>5</v>
      </c>
      <c r="AJ24" s="6">
        <v>5</v>
      </c>
      <c r="AK24" s="6">
        <v>5</v>
      </c>
      <c r="AL24" s="6">
        <v>5</v>
      </c>
      <c r="AM24" s="6">
        <v>5</v>
      </c>
      <c r="AN24" s="6">
        <v>5</v>
      </c>
      <c r="AO24" s="6" t="s">
        <v>144</v>
      </c>
      <c r="AP24" s="6" t="s">
        <v>64</v>
      </c>
      <c r="AQ24" s="6" t="s">
        <v>58</v>
      </c>
      <c r="AR24" s="6" t="s">
        <v>110</v>
      </c>
      <c r="AS24" s="6">
        <v>3</v>
      </c>
      <c r="AT24" s="6">
        <v>3</v>
      </c>
      <c r="AU24" s="6">
        <v>2</v>
      </c>
      <c r="AV24" s="6">
        <v>3</v>
      </c>
      <c r="AW24" s="6">
        <v>2</v>
      </c>
      <c r="AX24" s="6">
        <v>1</v>
      </c>
      <c r="AY24" s="6">
        <v>1</v>
      </c>
      <c r="AZ24" s="6">
        <v>1</v>
      </c>
      <c r="BA24" s="6">
        <v>1</v>
      </c>
      <c r="BB24" s="10">
        <v>2</v>
      </c>
    </row>
    <row r="25" spans="1:54" ht="41.4" customHeight="1" x14ac:dyDescent="0.3">
      <c r="A25" s="7">
        <f t="shared" si="0"/>
        <v>24</v>
      </c>
      <c r="B25" s="6" t="s">
        <v>145</v>
      </c>
      <c r="C25" s="6" t="s">
        <v>6</v>
      </c>
      <c r="D25" s="6" t="s">
        <v>13</v>
      </c>
      <c r="E25" s="6" t="s">
        <v>14</v>
      </c>
      <c r="F25" s="6" t="s">
        <v>22</v>
      </c>
      <c r="G25" s="6" t="s">
        <v>146</v>
      </c>
      <c r="H25" s="6" t="s">
        <v>147</v>
      </c>
      <c r="I25" s="6" t="s">
        <v>143</v>
      </c>
      <c r="J25" s="6" t="s">
        <v>175</v>
      </c>
      <c r="K25" s="6" t="s">
        <v>83</v>
      </c>
      <c r="L25" s="6">
        <v>4</v>
      </c>
      <c r="M25" s="6">
        <v>2</v>
      </c>
      <c r="N25" s="6">
        <v>2</v>
      </c>
      <c r="O25" s="6">
        <v>4</v>
      </c>
      <c r="P25" s="6" t="s">
        <v>224</v>
      </c>
      <c r="Q25" s="6" t="s">
        <v>89</v>
      </c>
      <c r="R25" s="6">
        <v>4</v>
      </c>
      <c r="S25" s="6">
        <v>4</v>
      </c>
      <c r="T25" s="6">
        <v>4</v>
      </c>
      <c r="U25" s="6">
        <v>4</v>
      </c>
      <c r="V25" s="6">
        <v>4</v>
      </c>
      <c r="W25" s="6">
        <v>4</v>
      </c>
      <c r="X25" s="6">
        <v>4</v>
      </c>
      <c r="Y25" s="6">
        <v>4</v>
      </c>
      <c r="Z25" s="6" t="s">
        <v>242</v>
      </c>
      <c r="AA25" s="6">
        <v>2</v>
      </c>
      <c r="AB25" s="6">
        <v>2</v>
      </c>
      <c r="AC25" s="6">
        <v>4</v>
      </c>
      <c r="AD25" s="6">
        <v>4</v>
      </c>
      <c r="AE25" s="6">
        <v>2</v>
      </c>
      <c r="AF25" s="6" t="s">
        <v>62</v>
      </c>
      <c r="AG25" s="6" t="s">
        <v>255</v>
      </c>
      <c r="AH25" s="6">
        <v>3</v>
      </c>
      <c r="AI25" s="6">
        <v>4</v>
      </c>
      <c r="AJ25" s="6">
        <v>4</v>
      </c>
      <c r="AK25" s="6">
        <v>5</v>
      </c>
      <c r="AL25" s="6">
        <v>4</v>
      </c>
      <c r="AM25" s="6">
        <v>4</v>
      </c>
      <c r="AN25" s="6">
        <v>4</v>
      </c>
      <c r="AO25" s="6" t="s">
        <v>148</v>
      </c>
      <c r="AP25" s="6" t="s">
        <v>93</v>
      </c>
      <c r="AQ25" s="6" t="s">
        <v>58</v>
      </c>
      <c r="AR25" s="6" t="s">
        <v>105</v>
      </c>
      <c r="AS25" s="6">
        <v>3</v>
      </c>
      <c r="AT25" s="6">
        <v>3</v>
      </c>
      <c r="AU25" s="6">
        <v>3</v>
      </c>
      <c r="AV25" s="6">
        <v>3</v>
      </c>
      <c r="AW25" s="6">
        <v>3</v>
      </c>
      <c r="AX25" s="6">
        <v>3</v>
      </c>
      <c r="AY25" s="6">
        <v>3</v>
      </c>
      <c r="AZ25" s="6">
        <v>3</v>
      </c>
      <c r="BA25" s="6">
        <v>3</v>
      </c>
      <c r="BB25" s="10">
        <v>3</v>
      </c>
    </row>
    <row r="26" spans="1:54" ht="41.4" customHeight="1" x14ac:dyDescent="0.3">
      <c r="A26" s="7">
        <f t="shared" si="0"/>
        <v>25</v>
      </c>
      <c r="B26" s="6" t="s">
        <v>149</v>
      </c>
      <c r="C26" s="6" t="s">
        <v>6</v>
      </c>
      <c r="D26" s="6" t="s">
        <v>16</v>
      </c>
      <c r="E26" s="6" t="s">
        <v>17</v>
      </c>
      <c r="F26" s="6" t="s">
        <v>20</v>
      </c>
      <c r="G26" s="6" t="s">
        <v>146</v>
      </c>
      <c r="H26" s="6" t="s">
        <v>150</v>
      </c>
      <c r="I26" s="6" t="s">
        <v>143</v>
      </c>
      <c r="J26" s="6" t="s">
        <v>82</v>
      </c>
      <c r="K26" s="6" t="s">
        <v>72</v>
      </c>
      <c r="L26" s="6">
        <v>4</v>
      </c>
      <c r="M26" s="6">
        <v>5</v>
      </c>
      <c r="N26" s="6">
        <v>3</v>
      </c>
      <c r="O26" s="6">
        <v>4</v>
      </c>
      <c r="P26" s="6" t="s">
        <v>226</v>
      </c>
      <c r="Q26" s="6" t="s">
        <v>89</v>
      </c>
      <c r="R26" s="6">
        <v>5</v>
      </c>
      <c r="S26" s="6">
        <v>3</v>
      </c>
      <c r="T26" s="6">
        <v>5</v>
      </c>
      <c r="U26" s="6">
        <v>4</v>
      </c>
      <c r="V26" s="6">
        <v>4</v>
      </c>
      <c r="W26" s="6">
        <v>3</v>
      </c>
      <c r="X26" s="6">
        <v>5</v>
      </c>
      <c r="Y26" s="6">
        <v>6</v>
      </c>
      <c r="Z26" s="6" t="s">
        <v>243</v>
      </c>
      <c r="AA26" s="6">
        <v>3</v>
      </c>
      <c r="AB26" s="6">
        <v>4</v>
      </c>
      <c r="AC26" s="6">
        <v>3</v>
      </c>
      <c r="AD26" s="6">
        <v>4</v>
      </c>
      <c r="AE26" s="6">
        <v>2</v>
      </c>
      <c r="AF26" s="6" t="s">
        <v>84</v>
      </c>
      <c r="AG26" s="6" t="s">
        <v>256</v>
      </c>
      <c r="AH26" s="6">
        <v>4</v>
      </c>
      <c r="AI26" s="6">
        <v>4</v>
      </c>
      <c r="AJ26" s="6">
        <v>4</v>
      </c>
      <c r="AK26" s="6">
        <v>3</v>
      </c>
      <c r="AL26" s="6">
        <v>4</v>
      </c>
      <c r="AM26" s="6">
        <v>4</v>
      </c>
      <c r="AN26" s="6">
        <v>3</v>
      </c>
      <c r="AO26" s="6" t="s">
        <v>151</v>
      </c>
      <c r="AP26" s="6" t="s">
        <v>64</v>
      </c>
      <c r="AQ26" s="6" t="s">
        <v>58</v>
      </c>
      <c r="AR26" s="6" t="s">
        <v>123</v>
      </c>
      <c r="AS26" s="6">
        <v>3</v>
      </c>
      <c r="AT26" s="6">
        <v>4</v>
      </c>
      <c r="AU26" s="6">
        <v>4</v>
      </c>
      <c r="AV26" s="6">
        <v>3</v>
      </c>
      <c r="AW26" s="6">
        <v>3</v>
      </c>
      <c r="AX26" s="6">
        <v>3</v>
      </c>
      <c r="AY26" s="6">
        <v>4</v>
      </c>
      <c r="AZ26" s="6">
        <v>3</v>
      </c>
      <c r="BA26" s="6">
        <v>4</v>
      </c>
      <c r="BB26" s="10">
        <v>3</v>
      </c>
    </row>
    <row r="27" spans="1:54" ht="41.4" customHeight="1" x14ac:dyDescent="0.3">
      <c r="A27" s="7">
        <f t="shared" si="0"/>
        <v>26</v>
      </c>
      <c r="B27" s="6" t="s">
        <v>145</v>
      </c>
      <c r="C27" s="6" t="s">
        <v>6</v>
      </c>
      <c r="D27" s="6" t="s">
        <v>13</v>
      </c>
      <c r="E27" s="6" t="s">
        <v>17</v>
      </c>
      <c r="F27" s="6" t="s">
        <v>22</v>
      </c>
      <c r="G27" s="6" t="s">
        <v>56</v>
      </c>
      <c r="H27" s="6" t="s">
        <v>57</v>
      </c>
      <c r="I27" s="6" t="s">
        <v>143</v>
      </c>
      <c r="J27" s="6" t="s">
        <v>82</v>
      </c>
      <c r="K27" s="6" t="s">
        <v>83</v>
      </c>
      <c r="L27" s="6">
        <v>5</v>
      </c>
      <c r="M27" s="6">
        <v>4</v>
      </c>
      <c r="N27" s="6">
        <v>4</v>
      </c>
      <c r="O27" s="6">
        <v>5</v>
      </c>
      <c r="P27" s="6" t="s">
        <v>224</v>
      </c>
      <c r="Q27" s="6" t="s">
        <v>227</v>
      </c>
      <c r="R27" s="6">
        <v>7</v>
      </c>
      <c r="S27" s="6">
        <v>4</v>
      </c>
      <c r="T27" s="6">
        <v>5</v>
      </c>
      <c r="U27" s="6">
        <v>5</v>
      </c>
      <c r="V27" s="6">
        <v>6</v>
      </c>
      <c r="W27" s="6">
        <v>6</v>
      </c>
      <c r="X27" s="6">
        <v>6</v>
      </c>
      <c r="Y27" s="6">
        <v>6</v>
      </c>
      <c r="Z27" s="6" t="s">
        <v>244</v>
      </c>
      <c r="AA27" s="6">
        <v>5</v>
      </c>
      <c r="AB27" s="6">
        <v>5</v>
      </c>
      <c r="AC27" s="6">
        <v>5</v>
      </c>
      <c r="AD27" s="6">
        <v>5</v>
      </c>
      <c r="AE27" s="6">
        <v>5</v>
      </c>
      <c r="AF27" s="6" t="s">
        <v>86</v>
      </c>
      <c r="AG27" s="6" t="s">
        <v>257</v>
      </c>
      <c r="AH27" s="6">
        <v>5</v>
      </c>
      <c r="AI27" s="6">
        <v>5</v>
      </c>
      <c r="AJ27" s="6">
        <v>5</v>
      </c>
      <c r="AK27" s="6">
        <v>5</v>
      </c>
      <c r="AL27" s="6">
        <v>5</v>
      </c>
      <c r="AM27" s="6">
        <v>5</v>
      </c>
      <c r="AN27" s="6">
        <v>5</v>
      </c>
      <c r="AO27" s="6" t="s">
        <v>153</v>
      </c>
      <c r="AP27" s="6" t="s">
        <v>64</v>
      </c>
      <c r="AQ27" s="6" t="s">
        <v>76</v>
      </c>
      <c r="AR27" s="6" t="s">
        <v>81</v>
      </c>
      <c r="AS27" s="6">
        <v>1</v>
      </c>
      <c r="AT27" s="6">
        <v>1</v>
      </c>
      <c r="AU27" s="6">
        <v>2</v>
      </c>
      <c r="AV27" s="6">
        <v>1</v>
      </c>
      <c r="AW27" s="6">
        <v>1</v>
      </c>
      <c r="AX27" s="6">
        <v>2</v>
      </c>
      <c r="AY27" s="6">
        <v>2</v>
      </c>
      <c r="AZ27" s="6">
        <v>2</v>
      </c>
      <c r="BA27" s="6">
        <v>2</v>
      </c>
      <c r="BB27" s="10">
        <v>2</v>
      </c>
    </row>
    <row r="28" spans="1:54" ht="43.2" customHeight="1" x14ac:dyDescent="0.3">
      <c r="A28" s="7">
        <f t="shared" si="0"/>
        <v>27</v>
      </c>
      <c r="B28" s="6" t="s">
        <v>142</v>
      </c>
      <c r="C28" s="6" t="s">
        <v>7</v>
      </c>
      <c r="D28" s="6" t="s">
        <v>13</v>
      </c>
      <c r="E28" s="6" t="s">
        <v>14</v>
      </c>
      <c r="F28" s="6" t="s">
        <v>23</v>
      </c>
      <c r="G28" s="6" t="s">
        <v>56</v>
      </c>
      <c r="H28" s="6" t="s">
        <v>57</v>
      </c>
      <c r="I28" s="6" t="s">
        <v>154</v>
      </c>
      <c r="J28" s="6" t="s">
        <v>77</v>
      </c>
      <c r="K28" s="6" t="s">
        <v>67</v>
      </c>
      <c r="L28" s="6">
        <v>1</v>
      </c>
      <c r="M28" s="6">
        <v>2</v>
      </c>
      <c r="N28" s="6">
        <v>1</v>
      </c>
      <c r="O28" s="6">
        <v>2</v>
      </c>
      <c r="P28" s="6" t="s">
        <v>224</v>
      </c>
      <c r="Q28" s="6" t="s">
        <v>73</v>
      </c>
      <c r="R28" s="6">
        <v>1</v>
      </c>
      <c r="S28" s="6">
        <v>2</v>
      </c>
      <c r="T28" s="6">
        <v>1</v>
      </c>
      <c r="U28" s="6">
        <v>2</v>
      </c>
      <c r="V28" s="6">
        <v>1</v>
      </c>
      <c r="W28" s="6">
        <v>2</v>
      </c>
      <c r="X28" s="6">
        <v>1</v>
      </c>
      <c r="Y28" s="6">
        <v>2</v>
      </c>
      <c r="Z28" s="6" t="s">
        <v>245</v>
      </c>
      <c r="AA28" s="6">
        <v>5</v>
      </c>
      <c r="AB28" s="6">
        <v>1</v>
      </c>
      <c r="AC28" s="6">
        <v>1</v>
      </c>
      <c r="AD28" s="6">
        <v>2</v>
      </c>
      <c r="AE28" s="6">
        <v>1</v>
      </c>
      <c r="AF28" s="6" t="s">
        <v>68</v>
      </c>
      <c r="AG28" s="6" t="s">
        <v>78</v>
      </c>
      <c r="AH28" s="6">
        <v>2</v>
      </c>
      <c r="AI28" s="6">
        <v>2</v>
      </c>
      <c r="AJ28" s="6">
        <v>1</v>
      </c>
      <c r="AK28" s="6">
        <v>2</v>
      </c>
      <c r="AL28" s="6">
        <v>1</v>
      </c>
      <c r="AM28" s="6">
        <v>2</v>
      </c>
      <c r="AN28" s="6">
        <v>1</v>
      </c>
      <c r="AO28" s="6" t="s">
        <v>155</v>
      </c>
      <c r="AP28" s="6" t="s">
        <v>64</v>
      </c>
      <c r="AQ28" s="6" t="s">
        <v>65</v>
      </c>
      <c r="AR28" s="6" t="s">
        <v>118</v>
      </c>
      <c r="AS28" s="6">
        <v>2</v>
      </c>
      <c r="AT28" s="6">
        <v>1</v>
      </c>
      <c r="AU28" s="6">
        <v>2</v>
      </c>
      <c r="AV28" s="6">
        <v>1</v>
      </c>
      <c r="AW28" s="6">
        <v>2</v>
      </c>
      <c r="AX28" s="6">
        <v>1</v>
      </c>
      <c r="AY28" s="6">
        <v>2</v>
      </c>
      <c r="AZ28" s="6">
        <v>1</v>
      </c>
      <c r="BA28" s="6">
        <v>2</v>
      </c>
      <c r="BB28" s="10">
        <v>1</v>
      </c>
    </row>
    <row r="29" spans="1:54" ht="43.2" customHeight="1" x14ac:dyDescent="0.3">
      <c r="A29" s="7">
        <f t="shared" si="0"/>
        <v>28</v>
      </c>
      <c r="B29" s="6" t="s">
        <v>149</v>
      </c>
      <c r="C29" s="6" t="s">
        <v>6</v>
      </c>
      <c r="D29" s="6" t="s">
        <v>13</v>
      </c>
      <c r="E29" s="6" t="s">
        <v>17</v>
      </c>
      <c r="F29" s="6" t="s">
        <v>23</v>
      </c>
      <c r="G29" s="6" t="s">
        <v>56</v>
      </c>
      <c r="H29" s="6" t="s">
        <v>147</v>
      </c>
      <c r="I29" s="6" t="s">
        <v>154</v>
      </c>
      <c r="J29" s="6" t="s">
        <v>175</v>
      </c>
      <c r="K29" s="6" t="s">
        <v>83</v>
      </c>
      <c r="L29" s="6">
        <v>1</v>
      </c>
      <c r="M29" s="6">
        <v>2</v>
      </c>
      <c r="N29" s="6">
        <v>1</v>
      </c>
      <c r="O29" s="6">
        <v>2</v>
      </c>
      <c r="P29" s="6" t="s">
        <v>223</v>
      </c>
      <c r="Q29" s="6" t="s">
        <v>73</v>
      </c>
      <c r="R29" s="6">
        <v>1</v>
      </c>
      <c r="S29" s="6">
        <v>2</v>
      </c>
      <c r="T29" s="6">
        <v>1</v>
      </c>
      <c r="U29" s="6">
        <v>2</v>
      </c>
      <c r="V29" s="6">
        <v>1</v>
      </c>
      <c r="W29" s="6">
        <v>2</v>
      </c>
      <c r="X29" s="6">
        <v>1</v>
      </c>
      <c r="Y29" s="6">
        <v>2</v>
      </c>
      <c r="Z29" s="6" t="s">
        <v>245</v>
      </c>
      <c r="AA29" s="6">
        <v>1</v>
      </c>
      <c r="AB29" s="6">
        <v>1</v>
      </c>
      <c r="AC29" s="6">
        <v>2</v>
      </c>
      <c r="AD29" s="6">
        <v>1</v>
      </c>
      <c r="AE29" s="6">
        <v>2</v>
      </c>
      <c r="AF29" s="6" t="s">
        <v>68</v>
      </c>
      <c r="AG29" s="6" t="s">
        <v>258</v>
      </c>
      <c r="AH29" s="6">
        <v>2</v>
      </c>
      <c r="AI29" s="6">
        <v>1</v>
      </c>
      <c r="AJ29" s="6">
        <v>2</v>
      </c>
      <c r="AK29" s="6">
        <v>1</v>
      </c>
      <c r="AL29" s="6">
        <v>2</v>
      </c>
      <c r="AM29" s="6">
        <v>1</v>
      </c>
      <c r="AN29" s="6">
        <v>1</v>
      </c>
      <c r="AO29" s="6" t="s">
        <v>155</v>
      </c>
      <c r="AP29" s="6" t="s">
        <v>88</v>
      </c>
      <c r="AQ29" s="6" t="s">
        <v>65</v>
      </c>
      <c r="AR29" s="6" t="s">
        <v>118</v>
      </c>
      <c r="AS29" s="6">
        <v>1</v>
      </c>
      <c r="AT29" s="6">
        <v>1</v>
      </c>
      <c r="AU29" s="6">
        <v>2</v>
      </c>
      <c r="AV29" s="6">
        <v>1</v>
      </c>
      <c r="AW29" s="6">
        <v>1</v>
      </c>
      <c r="AX29" s="6">
        <v>2</v>
      </c>
      <c r="AY29" s="6">
        <v>1</v>
      </c>
      <c r="AZ29" s="6">
        <v>2</v>
      </c>
      <c r="BA29" s="6">
        <v>1</v>
      </c>
      <c r="BB29" s="10">
        <v>2</v>
      </c>
    </row>
    <row r="30" spans="1:54" ht="43.2" customHeight="1" x14ac:dyDescent="0.3">
      <c r="A30" s="7">
        <f t="shared" si="0"/>
        <v>29</v>
      </c>
      <c r="B30" s="6" t="s">
        <v>142</v>
      </c>
      <c r="C30" s="6" t="s">
        <v>7</v>
      </c>
      <c r="D30" s="6" t="s">
        <v>16</v>
      </c>
      <c r="E30" s="6" t="s">
        <v>14</v>
      </c>
      <c r="F30" s="6" t="s">
        <v>20</v>
      </c>
      <c r="G30" s="6" t="s">
        <v>156</v>
      </c>
      <c r="H30" s="6" t="s">
        <v>57</v>
      </c>
      <c r="I30" s="6" t="s">
        <v>143</v>
      </c>
      <c r="J30" s="6" t="s">
        <v>59</v>
      </c>
      <c r="K30" s="6" t="s">
        <v>83</v>
      </c>
      <c r="L30" s="6">
        <v>1</v>
      </c>
      <c r="M30" s="6">
        <v>2</v>
      </c>
      <c r="N30" s="6">
        <v>1</v>
      </c>
      <c r="O30" s="6">
        <v>2</v>
      </c>
      <c r="P30" s="6" t="s">
        <v>225</v>
      </c>
      <c r="Q30" s="6" t="s">
        <v>73</v>
      </c>
      <c r="R30" s="6">
        <v>1</v>
      </c>
      <c r="S30" s="6">
        <v>2</v>
      </c>
      <c r="T30" s="6">
        <v>1</v>
      </c>
      <c r="U30" s="6">
        <v>2</v>
      </c>
      <c r="V30" s="6">
        <v>1</v>
      </c>
      <c r="W30" s="6">
        <v>2</v>
      </c>
      <c r="X30" s="6">
        <v>1</v>
      </c>
      <c r="Y30" s="6">
        <v>1</v>
      </c>
      <c r="Z30" s="6" t="s">
        <v>245</v>
      </c>
      <c r="AA30" s="6">
        <v>1</v>
      </c>
      <c r="AB30" s="6">
        <v>1</v>
      </c>
      <c r="AC30" s="6">
        <v>2</v>
      </c>
      <c r="AD30" s="6">
        <v>1</v>
      </c>
      <c r="AE30" s="6">
        <v>2</v>
      </c>
      <c r="AF30" s="6" t="s">
        <v>62</v>
      </c>
      <c r="AG30" s="6" t="s">
        <v>258</v>
      </c>
      <c r="AH30" s="6">
        <v>2</v>
      </c>
      <c r="AI30" s="6">
        <v>1</v>
      </c>
      <c r="AJ30" s="6">
        <v>2</v>
      </c>
      <c r="AK30" s="6">
        <v>1</v>
      </c>
      <c r="AL30" s="6">
        <v>1</v>
      </c>
      <c r="AM30" s="6">
        <v>2</v>
      </c>
      <c r="AN30" s="6">
        <v>2</v>
      </c>
      <c r="AO30" s="6" t="s">
        <v>79</v>
      </c>
      <c r="AP30" s="6" t="s">
        <v>96</v>
      </c>
      <c r="AQ30" s="6" t="s">
        <v>65</v>
      </c>
      <c r="AR30" s="6" t="s">
        <v>69</v>
      </c>
      <c r="AS30" s="6">
        <v>1</v>
      </c>
      <c r="AT30" s="6">
        <v>1</v>
      </c>
      <c r="AU30" s="6">
        <v>2</v>
      </c>
      <c r="AV30" s="6">
        <v>1</v>
      </c>
      <c r="AW30" s="6">
        <v>2</v>
      </c>
      <c r="AX30" s="6">
        <v>2</v>
      </c>
      <c r="AY30" s="6">
        <v>1</v>
      </c>
      <c r="AZ30" s="6">
        <v>2</v>
      </c>
      <c r="BA30" s="6">
        <v>1</v>
      </c>
      <c r="BB30" s="10">
        <v>2</v>
      </c>
    </row>
    <row r="31" spans="1:54" ht="43.2" customHeight="1" x14ac:dyDescent="0.3">
      <c r="A31" s="14">
        <f t="shared" si="0"/>
        <v>30</v>
      </c>
      <c r="B31" s="15" t="s">
        <v>145</v>
      </c>
      <c r="C31" s="15" t="s">
        <v>6</v>
      </c>
      <c r="D31" s="15" t="s">
        <v>16</v>
      </c>
      <c r="E31" s="15" t="s">
        <v>17</v>
      </c>
      <c r="F31" s="15" t="s">
        <v>22</v>
      </c>
      <c r="G31" s="15" t="s">
        <v>56</v>
      </c>
      <c r="H31" s="15" t="s">
        <v>57</v>
      </c>
      <c r="I31" s="15" t="s">
        <v>154</v>
      </c>
      <c r="J31" s="15" t="s">
        <v>59</v>
      </c>
      <c r="K31" s="15" t="s">
        <v>83</v>
      </c>
      <c r="L31" s="15">
        <v>5</v>
      </c>
      <c r="M31" s="15">
        <v>4</v>
      </c>
      <c r="N31" s="15">
        <v>5</v>
      </c>
      <c r="O31" s="15">
        <v>5</v>
      </c>
      <c r="P31" s="15" t="s">
        <v>226</v>
      </c>
      <c r="Q31" s="15" t="s">
        <v>73</v>
      </c>
      <c r="R31" s="15">
        <v>6</v>
      </c>
      <c r="S31" s="15">
        <v>6</v>
      </c>
      <c r="T31" s="15">
        <v>7</v>
      </c>
      <c r="U31" s="15">
        <v>7</v>
      </c>
      <c r="V31" s="15">
        <v>7</v>
      </c>
      <c r="W31" s="15">
        <v>6</v>
      </c>
      <c r="X31" s="15">
        <v>7</v>
      </c>
      <c r="Y31" s="15">
        <v>7</v>
      </c>
      <c r="Z31" s="15" t="s">
        <v>155</v>
      </c>
      <c r="AA31" s="15">
        <v>3</v>
      </c>
      <c r="AB31" s="15">
        <v>3</v>
      </c>
      <c r="AC31" s="15">
        <v>3</v>
      </c>
      <c r="AD31" s="15">
        <v>2</v>
      </c>
      <c r="AE31" s="15">
        <v>3</v>
      </c>
      <c r="AF31" s="15" t="s">
        <v>97</v>
      </c>
      <c r="AG31" s="15" t="s">
        <v>253</v>
      </c>
      <c r="AH31" s="15">
        <v>5</v>
      </c>
      <c r="AI31" s="15">
        <v>5</v>
      </c>
      <c r="AJ31" s="15">
        <v>5</v>
      </c>
      <c r="AK31" s="15">
        <v>5</v>
      </c>
      <c r="AL31" s="15">
        <v>5</v>
      </c>
      <c r="AM31" s="15">
        <v>5</v>
      </c>
      <c r="AN31" s="15">
        <v>5</v>
      </c>
      <c r="AO31" s="15" t="s">
        <v>157</v>
      </c>
      <c r="AP31" s="15" t="s">
        <v>64</v>
      </c>
      <c r="AQ31" s="15" t="s">
        <v>65</v>
      </c>
      <c r="AR31" s="15" t="s">
        <v>69</v>
      </c>
      <c r="AS31" s="15">
        <v>1</v>
      </c>
      <c r="AT31" s="15">
        <v>1</v>
      </c>
      <c r="AU31" s="15">
        <v>1</v>
      </c>
      <c r="AV31" s="15">
        <v>1</v>
      </c>
      <c r="AW31" s="15">
        <v>1</v>
      </c>
      <c r="AX31" s="15">
        <v>1</v>
      </c>
      <c r="AY31" s="15">
        <v>1</v>
      </c>
      <c r="AZ31" s="15">
        <v>1</v>
      </c>
      <c r="BA31" s="15">
        <v>1</v>
      </c>
      <c r="BB31" s="16">
        <v>1</v>
      </c>
    </row>
    <row r="32" spans="1:54" ht="41.4" customHeight="1" x14ac:dyDescent="0.3">
      <c r="A32" s="14"/>
      <c r="B32" s="15"/>
      <c r="C32" s="15"/>
      <c r="D32" s="15"/>
      <c r="E32" s="15"/>
      <c r="F32" s="15"/>
      <c r="G32" s="15"/>
      <c r="H32" s="15"/>
      <c r="I32" s="15"/>
      <c r="J32" s="15"/>
      <c r="K32" s="15"/>
      <c r="L32" s="15">
        <f>AVERAGE(Table1[6. Importance Scale – Rate the importance of the following for product development success:
( 1 = Not Important at All, 2 = Somewhat important, 3= Moderately Important, 4 = Very Important, 5 = Extremely Important) '[Market research']])</f>
        <v>3.5333333333333332</v>
      </c>
      <c r="M32" s="15">
        <f>SUBTOTAL(101,Table1[6. Importance Scale – Rate the importance of the following for product development success:
( 1 = Not Important at All, 2 = Somewhat important, 3= Moderately Important, 4 = Very Important, 5 = Extremely Important) '[Collaboration with industry experts']])</f>
        <v>3.6</v>
      </c>
      <c r="N32" s="15">
        <f>AVERAGE(Table1[6. Importance Scale – Rate the importance of the following for product development success:
( 1 = Not Important at All, 2 = Somewhat important, 3= Moderately Important, 4 = Very Important, 5 = Extremely Important) '[Access to latest technologies']])</f>
        <v>3.7666666666666666</v>
      </c>
      <c r="O32" s="15">
        <f>SUBTOTAL(101,Table1[6. Importance Scale – Rate the importance of the following for product development success:
( 1 = Not Important at All, 2 = Somewhat important, 3= Moderately Important, 4 = Very Important, 5 = Extremely Important) '[Customer Feedback']])</f>
        <v>4.1333333333333337</v>
      </c>
      <c r="P32" s="15"/>
      <c r="Q32" s="15"/>
      <c r="R32" s="15">
        <f>SUBTOTAL(101,Table1[3. Agreement Scale Indicate your level of agreement on a 7- point scale: (1 = Strongly disagree, 2 = Disagree, 3 = Moderately disagree, 4 = Neither agree nor disagree, 5 = Moderately agree, 6 = Agree, 7 = Strongly agree.) '[Our pricing strategy is aligned ])</f>
        <v>4.7666666666666666</v>
      </c>
      <c r="S32" s="15">
        <f>SUBTOTAL(101,Table1[3. Agreement Scale Indicate your level of agreement on a 7- point scale: (1 = Strongly disagree, 2 = Disagree, 3 = Moderately disagree, 4 = Neither agree nor disagree, 5 = Moderately agree, 6 = Agree, 7 = Strongly agree.) '[We do offer different level of p])</f>
        <v>4.833333333333333</v>
      </c>
      <c r="T32" s="15">
        <f>SUBTOTAL(101,Table1[3. Agreement Scale Indicate your level of agreement on a 7- point scale: (1 = Strongly disagree, 2 = Disagree, 3 = Moderately disagree, 4 = Neither agree nor disagree, 5 = Moderately agree, 6 = Agree, 7 = Strongly agree.) '[We regularly monitor competitor ])</f>
        <v>4.5666666666666664</v>
      </c>
      <c r="U32" s="15">
        <f>SUBTOTAL(101,Table1[3. Agreement Scale Indicate your level of agreement on a 7- point scale: (1 = Strongly disagree, 2 = Disagree, 3 = Moderately disagree, 4 = Neither agree nor disagree, 5 = Moderately agree, 6 = Agree, 7 = Strongly agree.) '[We face problem of intense compe])</f>
        <v>4.5999999999999996</v>
      </c>
      <c r="V32" s="15">
        <f>SUBTOTAL(101,Table1[3. Agreement Scale Indicate your level of agreement on a 7- point scale: (1 = Strongly disagree, 2 = Disagree, 3 = Moderately disagree, 4 = Neither agree nor disagree, 5 = Moderately agree, 6 = Agree, 7 = Strongly agree.) '[High production cost is one of t])</f>
        <v>4.4000000000000004</v>
      </c>
      <c r="W32" s="15">
        <f>SUBTOTAL(101,Table1[3. Agreement Scale Indicate your level of agreement on a 7- point scale: (1 = Strongly disagree, 2 = Disagree, 3 = Moderately disagree, 4 = Neither agree nor disagree, 5 = Moderately agree, 6 = Agree, 7 = Strongly agree.) '[Managing pricing across differen])</f>
        <v>4.4666666666666668</v>
      </c>
      <c r="X32" s="15">
        <f>SUBTOTAL(101,Table1[3. Agreement Scale Indicate your level of agreement on a 7- point scale: (1 = Strongly disagree, 2 = Disagree, 3 = Moderately disagree, 4 = Neither agree nor disagree, 5 = Moderately agree, 6 = Agree, 7 = Strongly agree.) '[We use technology tools/software])</f>
        <v>3.9666666666666668</v>
      </c>
      <c r="Y32" s="15">
        <f>SUBTOTAL(101,Table1[3. Agreement Scale Indicate your level of agreement on a 7- point scale: (1 = Strongly disagree, 2 = Disagree, 3 = Moderately disagree, 4 = Neither agree nor disagree, 5 = Moderately agree, 6 = Agree, 7 = Strongly agree.) '[Automation tools help us manage ])</f>
        <v>4.2</v>
      </c>
      <c r="Z32" s="15"/>
      <c r="AA32" s="15">
        <f>SUBTOTAL(101,Table1[2. Importance Scale – Rate the importance of the following factors for promotional efforts: (1 = Not Important at All, 2= Somewhat important, 3 = Moderately Important, 4= Very Important, 5 = Extremely Important) Indicate your agreement on the Agreement Sc])</f>
        <v>3.8666666666666667</v>
      </c>
      <c r="AB32" s="15">
        <f>SUBTOTAL(101,Table1[2. Importance Scale – Rate the importance of the following factors for promotional efforts: (1 = Not Important at All, 2= Somewhat important, 3 = Moderately Important, 4= Very Important, 5 = Extremely Important) Indicate your agreement on the Agreement2])</f>
        <v>3.6666666666666665</v>
      </c>
      <c r="AC32" s="15">
        <f>SUBTOTAL(101,Table1[2. Importance Scale – Rate the importance of the following factors for promotional efforts: (1 = Not Important at All, 2= Somewhat important, 3 = Moderately Important, 4= Very Important, 5 = Extremely Important) Indicate your agreement on the Agreement3])</f>
        <v>3.8</v>
      </c>
      <c r="AD32" s="15">
        <f>SUBTOTAL(101,Table1[2. Importance Scale – Rate the importance of the following factors for promotional efforts: (1 = Not Important at All, 2= Somewhat important, 3 = Moderately Important, 4= Very Important, 5 = Extremely Important) Indicate your agreement on the Agreement4])</f>
        <v>3.4333333333333331</v>
      </c>
      <c r="AE32" s="15">
        <f>SUBTOTAL(101,Table1[2. Importance Scale – Rate the importance of the following factors for promotional efforts: (1 = Not Important at All, 2= Somewhat important, 3 = Moderately Important, 4= Very Important, 5 = Extremely Important) Indicate your agreement on the Agreement5])</f>
        <v>3.4666666666666668</v>
      </c>
      <c r="AF32" s="15"/>
      <c r="AG32" s="15"/>
      <c r="AH32" s="15">
        <f>SUBTOTAL(101,Table1[2. Importance Scale – Rate the importance of the following factors for Distribution Strategy: ) ) ) ) ) ) (1 = Not Important at All, 2= Somewhat important, 3 = Moderately Important, 4= Very Important, 5 = Extremely Important) '[How important is a wide reac])</f>
        <v>3.8333333333333335</v>
      </c>
      <c r="AI32" s="15">
        <f>SUBTOTAL(101,Table1[2. Importance Scale – Rate the importance of the following factors for Distribution Strategy: ) ) ) ) ) ) (1 = Not Important at All, 2= Somewhat important, 3 = Moderately Important, 4= Very Important, 5 = Extremely Important) '[How important is Digital Pla])</f>
        <v>3.5</v>
      </c>
      <c r="AJ32" s="15">
        <f>SUBTOTAL(101,Table1[2. Importance Scale – Rate the importance of the following factors for Distribution Strategy: ) ) ) ) ) ) (1 = Not Important at All, 2= Somewhat important, 3 = Moderately Important, 4= Very Important, 5 = Extremely Important) '[Nature of Product']])</f>
        <v>3.7333333333333334</v>
      </c>
      <c r="AK32" s="15">
        <f>SUBTOTAL(101,Table1[2. Importance Scale – Rate the importance of the following factors for Distribution Strategy: ) ) ) ) ) ) (1 = Not Important at All, 2= Somewhat important, 3 = Moderately Important, 4= Very Important, 5 = Extremely Important) '[Nature of Market']])</f>
        <v>3.5666666666666669</v>
      </c>
      <c r="AL32" s="15">
        <f>SUBTOTAL(101,Table1[2. Importance Scale – Rate the importance of the following factors for Distribution Strategy: ) ) ) ) ) ) (1 = Not Important at All, 2= Somewhat important, 3 = Moderately Important, 4= Very Important, 5 = Extremely Important) '[Buying habits of the consume])</f>
        <v>3.4</v>
      </c>
      <c r="AM32" s="15">
        <f>SUBTOTAL(101,Table1[2. Importance Scale – Rate the importance of the following factors for Distribution Strategy: ) ) ) ) ) ) (1 = Not Important at All, 2= Somewhat important, 3 = Moderately Important, 4= Very Important, 5 = Extremely Important) '[Competition']])</f>
        <v>3.6333333333333333</v>
      </c>
      <c r="AN32" s="15">
        <f>SUBTOTAL(101,Table1[2. Importance Scale – Rate the importance of the following factors for Distribution Strategy: ) ) ) ) ) ) (1 = Not Important at All, 2= Somewhat important, 3 = Moderately Important, 4= Very Important, 5 = Extremely Important) '[Government Regulations']])</f>
        <v>3.5</v>
      </c>
      <c r="AO32" s="15"/>
      <c r="AP32" s="15"/>
      <c r="AQ32" s="15"/>
      <c r="AR32" s="15"/>
      <c r="AS32" s="15">
        <f>SUBTOTAL(101,Table1[Rate the following challenges in terms of their significance to your marketing efforts (1 = Most Significant, 5 = Least Significant): '[Limited marketing budget']])</f>
        <v>2.4666666666666668</v>
      </c>
      <c r="AT32" s="15">
        <f>SUBTOTAL(101,Table1[Rate the following challenges in terms of their significance to your marketing efforts (1 = Most Significant, 5 = Least Significant): '[Lack of in-house marketing expertise']])</f>
        <v>2.5</v>
      </c>
      <c r="AU32" s="15">
        <f>SUBTOTAL(101,Table1[Rate the following challenges in terms of their significance to your marketing efforts (1 = Most Significant, 5 = Least Significant): '[Difficulty in identifying and targeting the right audience']])</f>
        <v>2.4333333333333331</v>
      </c>
      <c r="AV32" s="15">
        <f>SUBTOTAL(101,Table1[Rate the following challenges in terms of their significance to your marketing efforts (1 = Most Significant, 5 = Least Significant): '[Intense competition within the tech industry']])</f>
        <v>2.2333333333333334</v>
      </c>
      <c r="AW32" s="15">
        <f>SUBTOTAL(101,Table1[Rate the following challenges in terms of their significance to your marketing efforts (1 = Most Significant, 5 = Least Significant): '[Rapidly changing digital marketing landscape/algorithms']])</f>
        <v>2.3666666666666667</v>
      </c>
      <c r="AX32" s="15">
        <f>SUBTOTAL(101,Table1[Rate the following challenges in terms of their significance to your marketing efforts (1 = Most Significant, 5 = Least Significant): '[Measuring Return on Investment (ROI) effectively']])</f>
        <v>2.0333333333333332</v>
      </c>
      <c r="AY32" s="15">
        <f>SUBTOTAL(101,Table1[Rate the following challenges in terms of their significance to your marketing efforts (1 = Most Significant, 5 = Least Significant): '[Building brand awareness and recognition']])</f>
        <v>2.2666666666666666</v>
      </c>
      <c r="AZ32" s="15">
        <f>SUBTOTAL(101,Table1[Rate the following challenges in terms of their significance to your marketing efforts (1 = Most Significant, 5 = Least Significant): '[Customer acquisition and retention']])</f>
        <v>2.1666666666666665</v>
      </c>
      <c r="BA32" s="15">
        <f>SUBTOTAL(101,Table1[Rate the following challenges in terms of their significance to your marketing efforts (1 = Most Significant, 5 = Least Significant): '[Data privacy and compliance concerns']])</f>
        <v>2.3333333333333335</v>
      </c>
      <c r="BB32" s="16">
        <f>SUBTOTAL(101,Table1[Rate the following challenges in terms of their significance to your marketing efforts (1 = Most Significant, 5 = Least Significant): '[Resistance to change or adoption of new technologies by the target market']])</f>
        <v>2.4333333333333331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B454B-AEA0-48B2-B7DA-A5A7D14E53C8}">
  <dimension ref="A1:V92"/>
  <sheetViews>
    <sheetView topLeftCell="A61" zoomScale="55" zoomScaleNormal="55" workbookViewId="0">
      <selection activeCell="R58" sqref="R58"/>
    </sheetView>
  </sheetViews>
  <sheetFormatPr defaultRowHeight="14.4" x14ac:dyDescent="0.3"/>
  <cols>
    <col min="1" max="1" width="23.5546875" bestFit="1" customWidth="1"/>
    <col min="2" max="2" width="18.44140625" bestFit="1" customWidth="1"/>
    <col min="3" max="3" width="5.5546875" bestFit="1" customWidth="1"/>
    <col min="4" max="4" width="20.44140625" bestFit="1" customWidth="1"/>
    <col min="5" max="5" width="20.77734375" bestFit="1" customWidth="1"/>
    <col min="6" max="7" width="11.44140625" bestFit="1" customWidth="1"/>
    <col min="18" max="18" width="28.88671875" customWidth="1"/>
    <col min="21" max="21" width="23.77734375" customWidth="1"/>
    <col min="22" max="22" width="27.44140625" customWidth="1"/>
    <col min="23" max="23" width="25.21875" customWidth="1"/>
  </cols>
  <sheetData>
    <row r="1" spans="1:21" ht="28.8" x14ac:dyDescent="0.3">
      <c r="A1" s="35" t="s">
        <v>260</v>
      </c>
      <c r="B1" s="28" t="s">
        <v>179</v>
      </c>
      <c r="C1" s="28"/>
      <c r="D1" s="28"/>
      <c r="E1" s="28"/>
    </row>
    <row r="2" spans="1:21" x14ac:dyDescent="0.3">
      <c r="C2" s="28"/>
      <c r="D2" s="28"/>
      <c r="E2" s="28"/>
    </row>
    <row r="3" spans="1:21" ht="60.6" customHeight="1" x14ac:dyDescent="0.3">
      <c r="A3" s="33" t="s">
        <v>264</v>
      </c>
      <c r="B3" s="33" t="s">
        <v>178</v>
      </c>
      <c r="C3" s="28"/>
      <c r="D3" s="28"/>
      <c r="E3" s="28"/>
    </row>
    <row r="4" spans="1:21" ht="79.2" customHeight="1" x14ac:dyDescent="0.3">
      <c r="A4" s="29" t="s">
        <v>176</v>
      </c>
      <c r="B4" s="30" t="s">
        <v>56</v>
      </c>
      <c r="C4" s="30" t="s">
        <v>108</v>
      </c>
      <c r="D4" s="30" t="s">
        <v>80</v>
      </c>
      <c r="E4" s="30" t="s">
        <v>102</v>
      </c>
      <c r="U4" s="38" t="s">
        <v>265</v>
      </c>
    </row>
    <row r="5" spans="1:21" x14ac:dyDescent="0.3">
      <c r="A5" s="27" t="s">
        <v>11</v>
      </c>
      <c r="B5" s="31">
        <v>4</v>
      </c>
      <c r="C5" s="31"/>
      <c r="D5" s="31"/>
      <c r="E5" s="31"/>
    </row>
    <row r="6" spans="1:21" x14ac:dyDescent="0.3">
      <c r="A6" s="27" t="s">
        <v>12</v>
      </c>
      <c r="B6" s="31"/>
      <c r="C6" s="31"/>
      <c r="D6" s="31"/>
      <c r="E6" s="31">
        <v>5</v>
      </c>
    </row>
    <row r="7" spans="1:21" x14ac:dyDescent="0.3">
      <c r="A7" s="27" t="s">
        <v>18</v>
      </c>
      <c r="B7" s="31"/>
      <c r="C7" s="31"/>
      <c r="D7" s="31">
        <v>5</v>
      </c>
      <c r="E7" s="31"/>
    </row>
    <row r="8" spans="1:21" x14ac:dyDescent="0.3">
      <c r="A8" s="27" t="s">
        <v>14</v>
      </c>
      <c r="B8" s="31">
        <v>3.6666666666666665</v>
      </c>
      <c r="C8" s="31"/>
      <c r="D8" s="31">
        <v>2</v>
      </c>
      <c r="E8" s="31">
        <v>3.5</v>
      </c>
    </row>
    <row r="9" spans="1:21" x14ac:dyDescent="0.3">
      <c r="A9" s="27" t="s">
        <v>128</v>
      </c>
      <c r="B9" s="31">
        <v>3.75</v>
      </c>
      <c r="C9" s="31"/>
      <c r="D9" s="31"/>
      <c r="E9" s="31"/>
    </row>
    <row r="10" spans="1:21" x14ac:dyDescent="0.3">
      <c r="A10" s="27" t="s">
        <v>124</v>
      </c>
      <c r="B10" s="31">
        <v>4</v>
      </c>
      <c r="C10" s="31"/>
      <c r="D10" s="31"/>
      <c r="E10" s="31"/>
    </row>
    <row r="11" spans="1:21" x14ac:dyDescent="0.3">
      <c r="A11" s="27" t="s">
        <v>126</v>
      </c>
      <c r="B11" s="31">
        <v>5</v>
      </c>
      <c r="C11" s="31"/>
      <c r="D11" s="31"/>
      <c r="E11" s="31"/>
    </row>
    <row r="12" spans="1:21" x14ac:dyDescent="0.3">
      <c r="A12" s="27" t="s">
        <v>17</v>
      </c>
      <c r="B12" s="31">
        <v>3.2727272727272729</v>
      </c>
      <c r="C12" s="31">
        <v>3</v>
      </c>
      <c r="D12" s="31">
        <v>4</v>
      </c>
      <c r="E12" s="31"/>
    </row>
    <row r="16" spans="1:21" ht="2.4" customHeight="1" x14ac:dyDescent="0.3"/>
    <row r="17" spans="1:21" hidden="1" x14ac:dyDescent="0.3"/>
    <row r="18" spans="1:21" hidden="1" x14ac:dyDescent="0.3"/>
    <row r="19" spans="1:21" x14ac:dyDescent="0.3">
      <c r="A19" s="34" t="s">
        <v>261</v>
      </c>
      <c r="B19" s="28" t="s">
        <v>179</v>
      </c>
      <c r="C19" s="28"/>
      <c r="D19" s="28"/>
      <c r="E19" s="28"/>
    </row>
    <row r="20" spans="1:21" x14ac:dyDescent="0.3">
      <c r="A20" s="28"/>
      <c r="B20" s="28"/>
      <c r="C20" s="28"/>
      <c r="D20" s="28"/>
      <c r="E20" s="28"/>
    </row>
    <row r="21" spans="1:21" ht="78.599999999999994" customHeight="1" x14ac:dyDescent="0.3">
      <c r="A21" s="33" t="s">
        <v>264</v>
      </c>
      <c r="B21" s="32" t="s">
        <v>178</v>
      </c>
      <c r="C21" s="28"/>
      <c r="D21" s="28"/>
      <c r="E21" s="28"/>
      <c r="U21" s="38" t="s">
        <v>266</v>
      </c>
    </row>
    <row r="22" spans="1:21" x14ac:dyDescent="0.3">
      <c r="A22" s="29" t="s">
        <v>176</v>
      </c>
      <c r="B22" s="30" t="s">
        <v>22</v>
      </c>
      <c r="C22" s="28" t="s">
        <v>20</v>
      </c>
      <c r="D22" s="28" t="s">
        <v>23</v>
      </c>
      <c r="E22" s="28" t="s">
        <v>21</v>
      </c>
    </row>
    <row r="23" spans="1:21" x14ac:dyDescent="0.3">
      <c r="A23" s="26" t="s">
        <v>59</v>
      </c>
      <c r="B23" s="31"/>
      <c r="C23" s="31">
        <v>5</v>
      </c>
      <c r="D23" s="31">
        <v>5</v>
      </c>
      <c r="E23" s="31">
        <v>5</v>
      </c>
    </row>
    <row r="24" spans="1:21" x14ac:dyDescent="0.3">
      <c r="A24" s="26" t="s">
        <v>73</v>
      </c>
      <c r="B24" s="31">
        <v>3.5</v>
      </c>
      <c r="C24" s="31">
        <v>2</v>
      </c>
      <c r="D24" s="31">
        <v>2</v>
      </c>
      <c r="E24" s="31">
        <v>3</v>
      </c>
    </row>
    <row r="25" spans="1:21" x14ac:dyDescent="0.3">
      <c r="A25" s="26" t="s">
        <v>61</v>
      </c>
      <c r="B25" s="31">
        <v>5</v>
      </c>
      <c r="C25" s="31">
        <v>4.5</v>
      </c>
      <c r="D25" s="31"/>
      <c r="E25" s="31">
        <v>3.6666666666666665</v>
      </c>
    </row>
    <row r="26" spans="1:21" x14ac:dyDescent="0.3">
      <c r="A26" s="26" t="s">
        <v>152</v>
      </c>
      <c r="B26" s="31">
        <v>4</v>
      </c>
      <c r="C26" s="31"/>
      <c r="D26" s="31"/>
      <c r="E26" s="31"/>
    </row>
    <row r="27" spans="1:21" x14ac:dyDescent="0.3">
      <c r="A27" s="26" t="s">
        <v>89</v>
      </c>
      <c r="B27" s="31">
        <v>3.3333333333333335</v>
      </c>
      <c r="C27" s="31">
        <v>5</v>
      </c>
      <c r="D27" s="31">
        <v>3</v>
      </c>
      <c r="E27" s="31">
        <v>2.5</v>
      </c>
    </row>
    <row r="36" spans="1:21" x14ac:dyDescent="0.3">
      <c r="A36" s="33" t="s">
        <v>263</v>
      </c>
      <c r="B36" s="32" t="s">
        <v>178</v>
      </c>
      <c r="C36" s="28"/>
      <c r="D36" s="28"/>
      <c r="E36" s="28"/>
      <c r="F36" s="28"/>
    </row>
    <row r="37" spans="1:21" x14ac:dyDescent="0.3">
      <c r="A37" s="29" t="s">
        <v>176</v>
      </c>
      <c r="B37" s="28" t="s">
        <v>72</v>
      </c>
      <c r="C37" s="28" t="s">
        <v>60</v>
      </c>
      <c r="D37" s="28" t="s">
        <v>83</v>
      </c>
      <c r="E37" s="28" t="s">
        <v>67</v>
      </c>
      <c r="F37" s="28" t="s">
        <v>177</v>
      </c>
    </row>
    <row r="38" spans="1:21" x14ac:dyDescent="0.3">
      <c r="A38" s="20" t="s">
        <v>11</v>
      </c>
      <c r="B38" s="28"/>
      <c r="C38" s="28">
        <v>1</v>
      </c>
      <c r="D38" s="28"/>
      <c r="E38" s="28"/>
      <c r="F38" s="28">
        <v>1</v>
      </c>
    </row>
    <row r="39" spans="1:21" ht="60.6" customHeight="1" x14ac:dyDescent="0.3">
      <c r="A39" s="20" t="s">
        <v>12</v>
      </c>
      <c r="B39" s="28"/>
      <c r="C39" s="28"/>
      <c r="D39" s="28">
        <v>1</v>
      </c>
      <c r="E39" s="28"/>
      <c r="F39" s="28">
        <v>1</v>
      </c>
      <c r="U39" s="39" t="s">
        <v>267</v>
      </c>
    </row>
    <row r="40" spans="1:21" x14ac:dyDescent="0.3">
      <c r="A40" s="20" t="s">
        <v>18</v>
      </c>
      <c r="B40" s="28"/>
      <c r="C40" s="28"/>
      <c r="D40" s="28">
        <v>1</v>
      </c>
      <c r="E40" s="28"/>
      <c r="F40" s="28">
        <v>1</v>
      </c>
    </row>
    <row r="41" spans="1:21" x14ac:dyDescent="0.3">
      <c r="A41" s="20" t="s">
        <v>14</v>
      </c>
      <c r="B41" s="28"/>
      <c r="C41" s="28">
        <v>1</v>
      </c>
      <c r="D41" s="28">
        <v>4</v>
      </c>
      <c r="E41" s="28">
        <v>1</v>
      </c>
      <c r="F41" s="28">
        <v>6</v>
      </c>
    </row>
    <row r="42" spans="1:21" x14ac:dyDescent="0.3">
      <c r="A42" s="20" t="s">
        <v>128</v>
      </c>
      <c r="B42" s="28">
        <v>1</v>
      </c>
      <c r="C42" s="28">
        <v>1</v>
      </c>
      <c r="D42" s="28">
        <v>2</v>
      </c>
      <c r="E42" s="28"/>
      <c r="F42" s="28">
        <v>4</v>
      </c>
    </row>
    <row r="43" spans="1:21" x14ac:dyDescent="0.3">
      <c r="A43" s="20" t="s">
        <v>124</v>
      </c>
      <c r="B43" s="28">
        <v>1</v>
      </c>
      <c r="C43" s="28"/>
      <c r="D43" s="28"/>
      <c r="E43" s="28"/>
      <c r="F43" s="28">
        <v>1</v>
      </c>
    </row>
    <row r="44" spans="1:21" x14ac:dyDescent="0.3">
      <c r="A44" s="20" t="s">
        <v>126</v>
      </c>
      <c r="B44" s="28"/>
      <c r="C44" s="28">
        <v>1</v>
      </c>
      <c r="D44" s="28"/>
      <c r="E44" s="28"/>
      <c r="F44" s="28">
        <v>1</v>
      </c>
    </row>
    <row r="45" spans="1:21" x14ac:dyDescent="0.3">
      <c r="A45" s="20" t="s">
        <v>17</v>
      </c>
      <c r="B45" s="28">
        <v>1</v>
      </c>
      <c r="C45" s="28">
        <v>1</v>
      </c>
      <c r="D45" s="28">
        <v>11</v>
      </c>
      <c r="E45" s="28">
        <v>2</v>
      </c>
      <c r="F45" s="28">
        <v>15</v>
      </c>
    </row>
    <row r="46" spans="1:21" x14ac:dyDescent="0.3">
      <c r="A46" s="20" t="s">
        <v>177</v>
      </c>
      <c r="B46" s="28">
        <v>3</v>
      </c>
      <c r="C46" s="28">
        <v>5</v>
      </c>
      <c r="D46" s="28">
        <v>19</v>
      </c>
      <c r="E46" s="28">
        <v>3</v>
      </c>
      <c r="F46" s="28">
        <v>30</v>
      </c>
    </row>
    <row r="55" spans="1:18" x14ac:dyDescent="0.3">
      <c r="A55" s="34" t="s">
        <v>262</v>
      </c>
      <c r="B55" s="36" t="s">
        <v>179</v>
      </c>
      <c r="C55" s="28"/>
    </row>
    <row r="56" spans="1:18" x14ac:dyDescent="0.3">
      <c r="A56" s="28"/>
      <c r="B56" s="28"/>
      <c r="C56" s="28"/>
    </row>
    <row r="57" spans="1:18" ht="43.2" x14ac:dyDescent="0.3">
      <c r="A57" s="33" t="s">
        <v>180</v>
      </c>
      <c r="B57" s="32" t="s">
        <v>178</v>
      </c>
      <c r="C57" s="36"/>
    </row>
    <row r="58" spans="1:18" ht="63.6" customHeight="1" x14ac:dyDescent="0.3">
      <c r="A58" s="37" t="s">
        <v>176</v>
      </c>
      <c r="B58" s="20" t="s">
        <v>7</v>
      </c>
      <c r="C58" s="20" t="s">
        <v>6</v>
      </c>
      <c r="R58" s="38" t="s">
        <v>266</v>
      </c>
    </row>
    <row r="59" spans="1:18" x14ac:dyDescent="0.3">
      <c r="A59" s="20" t="s">
        <v>145</v>
      </c>
      <c r="B59" s="20"/>
      <c r="C59" s="20">
        <v>5</v>
      </c>
    </row>
    <row r="60" spans="1:18" x14ac:dyDescent="0.3">
      <c r="A60" s="20" t="s">
        <v>142</v>
      </c>
      <c r="B60" s="20">
        <v>3</v>
      </c>
      <c r="C60" s="20">
        <v>3</v>
      </c>
    </row>
    <row r="61" spans="1:18" x14ac:dyDescent="0.3">
      <c r="A61" s="20" t="s">
        <v>3</v>
      </c>
      <c r="B61" s="20">
        <v>3</v>
      </c>
      <c r="C61" s="20">
        <v>10</v>
      </c>
    </row>
    <row r="62" spans="1:18" x14ac:dyDescent="0.3">
      <c r="A62" s="20" t="s">
        <v>138</v>
      </c>
      <c r="B62" s="20"/>
      <c r="C62" s="20">
        <v>3</v>
      </c>
    </row>
    <row r="63" spans="1:18" x14ac:dyDescent="0.3">
      <c r="A63" s="20" t="s">
        <v>1</v>
      </c>
      <c r="B63" s="20">
        <v>5</v>
      </c>
      <c r="C63" s="20">
        <v>8</v>
      </c>
    </row>
    <row r="64" spans="1:18" x14ac:dyDescent="0.3">
      <c r="A64" s="20" t="s">
        <v>149</v>
      </c>
      <c r="B64" s="20"/>
      <c r="C64" s="20">
        <v>4</v>
      </c>
    </row>
    <row r="65" spans="1:18" x14ac:dyDescent="0.3">
      <c r="A65" s="20" t="s">
        <v>2</v>
      </c>
      <c r="B65" s="20">
        <v>1</v>
      </c>
      <c r="C65" s="20">
        <v>1</v>
      </c>
    </row>
    <row r="66" spans="1:18" x14ac:dyDescent="0.3">
      <c r="A66" s="20" t="s">
        <v>4</v>
      </c>
      <c r="B66" s="20">
        <v>2</v>
      </c>
      <c r="C66" s="20">
        <v>26</v>
      </c>
    </row>
    <row r="67" spans="1:18" x14ac:dyDescent="0.3">
      <c r="A67" s="20" t="s">
        <v>177</v>
      </c>
      <c r="B67" s="20">
        <v>14</v>
      </c>
      <c r="C67" s="20">
        <v>60</v>
      </c>
    </row>
    <row r="70" spans="1:18" ht="51" customHeight="1" x14ac:dyDescent="0.3">
      <c r="R70" s="38" t="s">
        <v>268</v>
      </c>
    </row>
    <row r="82" spans="1:22" x14ac:dyDescent="0.3">
      <c r="A82" s="17" t="s">
        <v>176</v>
      </c>
      <c r="B82" s="28" t="s">
        <v>218</v>
      </c>
    </row>
    <row r="83" spans="1:22" ht="28.8" x14ac:dyDescent="0.3">
      <c r="A83" s="40" t="s">
        <v>76</v>
      </c>
      <c r="B83" s="46">
        <v>8</v>
      </c>
    </row>
    <row r="84" spans="1:22" ht="28.8" x14ac:dyDescent="0.3">
      <c r="A84" s="40" t="s">
        <v>111</v>
      </c>
      <c r="B84" s="46">
        <v>4</v>
      </c>
    </row>
    <row r="85" spans="1:22" x14ac:dyDescent="0.3">
      <c r="A85" s="40" t="s">
        <v>65</v>
      </c>
      <c r="B85" s="46">
        <v>8</v>
      </c>
    </row>
    <row r="86" spans="1:22" x14ac:dyDescent="0.3">
      <c r="A86" s="40" t="s">
        <v>58</v>
      </c>
      <c r="B86" s="46">
        <v>10</v>
      </c>
    </row>
    <row r="87" spans="1:22" x14ac:dyDescent="0.3">
      <c r="A87" s="41" t="s">
        <v>177</v>
      </c>
      <c r="B87" s="46">
        <v>30</v>
      </c>
    </row>
    <row r="92" spans="1:22" ht="28.8" x14ac:dyDescent="0.3">
      <c r="R92" s="38" t="s">
        <v>269</v>
      </c>
      <c r="V92" s="38" t="s">
        <v>270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AE50A-C1D7-453A-957D-8053B88CBF68}">
  <dimension ref="A2:J60"/>
  <sheetViews>
    <sheetView zoomScale="70" zoomScaleNormal="70" workbookViewId="0">
      <selection activeCell="K75" sqref="K75"/>
    </sheetView>
  </sheetViews>
  <sheetFormatPr defaultRowHeight="14.4" x14ac:dyDescent="0.3"/>
  <cols>
    <col min="1" max="1" width="29.109375" bestFit="1" customWidth="1"/>
    <col min="2" max="2" width="15.5546875" bestFit="1" customWidth="1"/>
    <col min="3" max="3" width="5.21875" bestFit="1" customWidth="1"/>
    <col min="4" max="4" width="10.77734375" bestFit="1" customWidth="1"/>
    <col min="5" max="5" width="59.5546875" bestFit="1" customWidth="1"/>
    <col min="6" max="6" width="60.109375" bestFit="1" customWidth="1"/>
    <col min="7" max="7" width="27.44140625" customWidth="1"/>
    <col min="8" max="8" width="17.88671875" customWidth="1"/>
    <col min="9" max="9" width="17" customWidth="1"/>
    <col min="10" max="10" width="26.44140625" customWidth="1"/>
    <col min="11" max="42" width="80.88671875" bestFit="1" customWidth="1"/>
  </cols>
  <sheetData>
    <row r="2" spans="1:2" x14ac:dyDescent="0.3">
      <c r="A2" s="29" t="s">
        <v>176</v>
      </c>
      <c r="B2" s="30" t="s">
        <v>215</v>
      </c>
    </row>
    <row r="3" spans="1:2" x14ac:dyDescent="0.3">
      <c r="A3" s="20" t="s">
        <v>11</v>
      </c>
      <c r="B3" s="28">
        <v>1</v>
      </c>
    </row>
    <row r="4" spans="1:2" x14ac:dyDescent="0.3">
      <c r="A4" s="20" t="s">
        <v>12</v>
      </c>
      <c r="B4" s="28">
        <v>1</v>
      </c>
    </row>
    <row r="5" spans="1:2" x14ac:dyDescent="0.3">
      <c r="A5" s="20" t="s">
        <v>18</v>
      </c>
      <c r="B5" s="28">
        <v>1</v>
      </c>
    </row>
    <row r="6" spans="1:2" x14ac:dyDescent="0.3">
      <c r="A6" s="20" t="s">
        <v>14</v>
      </c>
      <c r="B6" s="28">
        <v>6</v>
      </c>
    </row>
    <row r="7" spans="1:2" x14ac:dyDescent="0.3">
      <c r="A7" s="20" t="s">
        <v>128</v>
      </c>
      <c r="B7" s="28">
        <v>4</v>
      </c>
    </row>
    <row r="8" spans="1:2" x14ac:dyDescent="0.3">
      <c r="A8" s="20" t="s">
        <v>124</v>
      </c>
      <c r="B8" s="28">
        <v>1</v>
      </c>
    </row>
    <row r="9" spans="1:2" x14ac:dyDescent="0.3">
      <c r="A9" s="20" t="s">
        <v>126</v>
      </c>
      <c r="B9" s="28">
        <v>1</v>
      </c>
    </row>
    <row r="10" spans="1:2" x14ac:dyDescent="0.3">
      <c r="A10" s="20" t="s">
        <v>17</v>
      </c>
      <c r="B10" s="28">
        <v>15</v>
      </c>
    </row>
    <row r="11" spans="1:2" x14ac:dyDescent="0.3">
      <c r="A11" s="20" t="s">
        <v>177</v>
      </c>
      <c r="B11" s="28">
        <v>30</v>
      </c>
    </row>
    <row r="14" spans="1:2" x14ac:dyDescent="0.3">
      <c r="A14" s="23" t="s">
        <v>184</v>
      </c>
      <c r="B14" s="24" t="s">
        <v>181</v>
      </c>
    </row>
    <row r="15" spans="1:2" x14ac:dyDescent="0.3">
      <c r="A15" s="20" t="s">
        <v>57</v>
      </c>
      <c r="B15" s="19">
        <f>AVERAGE(Table1[6. Importance Scale – Rate the importance of the following for product development success:
( 1 = Not Important at All, 2 = Somewhat important, 3= Moderately Important, 4 = Very Important, 5 = Extremely Important) '[Market research']])</f>
        <v>3.5333333333333332</v>
      </c>
    </row>
    <row r="16" spans="1:2" x14ac:dyDescent="0.3">
      <c r="A16" s="20" t="s">
        <v>147</v>
      </c>
      <c r="B16" s="19">
        <f>SUBTOTAL(101,Table1[6. Importance Scale – Rate the importance of the following for product development success:
( 1 = Not Important at All, 2 = Somewhat important, 3= Moderately Important, 4 = Very Important, 5 = Extremely Important) '[Collaboration with industry experts']])</f>
        <v>3.6</v>
      </c>
    </row>
    <row r="17" spans="1:2" x14ac:dyDescent="0.3">
      <c r="A17" s="20" t="s">
        <v>182</v>
      </c>
      <c r="B17" s="19">
        <f>AVERAGE(Table1[6. Importance Scale – Rate the importance of the following for product development success:
( 1 = Not Important at All, 2 = Somewhat important, 3= Moderately Important, 4 = Very Important, 5 = Extremely Important) '[Access to latest technologies']])</f>
        <v>3.7666666666666666</v>
      </c>
    </row>
    <row r="18" spans="1:2" x14ac:dyDescent="0.3">
      <c r="A18" s="20" t="s">
        <v>183</v>
      </c>
      <c r="B18" s="19">
        <f>SUBTOTAL(101,Table1[6. Importance Scale – Rate the importance of the following for product development success:
( 1 = Not Important at All, 2 = Somewhat important, 3= Moderately Important, 4 = Very Important, 5 = Extremely Important) '[Customer Feedback']])</f>
        <v>4.1333333333333337</v>
      </c>
    </row>
    <row r="19" spans="1:2" x14ac:dyDescent="0.3">
      <c r="A19" s="20" t="s">
        <v>185</v>
      </c>
      <c r="B19" s="19">
        <f>SUBTOTAL(101,Table1[3. Agreement Scale Indicate your level of agreement on a 7- point scale: (1 = Strongly disagree, 2 = Disagree, 3 = Moderately disagree, 4 = Neither agree nor disagree, 5 = Moderately agree, 6 = Agree, 7 = Strongly agree.) '[Our pricing strategy is aligned ])</f>
        <v>4.7666666666666666</v>
      </c>
    </row>
    <row r="20" spans="1:2" x14ac:dyDescent="0.3">
      <c r="A20" s="20" t="s">
        <v>186</v>
      </c>
      <c r="B20" s="19">
        <f>SUBTOTAL(101,Table1[3. Agreement Scale Indicate your level of agreement on a 7- point scale: (1 = Strongly disagree, 2 = Disagree, 3 = Moderately disagree, 4 = Neither agree nor disagree, 5 = Moderately agree, 6 = Agree, 7 = Strongly agree.) '[We do offer different level of p])</f>
        <v>4.833333333333333</v>
      </c>
    </row>
    <row r="21" spans="1:2" x14ac:dyDescent="0.3">
      <c r="A21" s="20" t="s">
        <v>187</v>
      </c>
      <c r="B21" s="19">
        <f>SUBTOTAL(101,Table1[3. Agreement Scale Indicate your level of agreement on a 7- point scale: (1 = Strongly disagree, 2 = Disagree, 3 = Moderately disagree, 4 = Neither agree nor disagree, 5 = Moderately agree, 6 = Agree, 7 = Strongly agree.) '[We regularly monitor competitor ])</f>
        <v>4.5666666666666664</v>
      </c>
    </row>
    <row r="22" spans="1:2" x14ac:dyDescent="0.3">
      <c r="A22" s="20" t="s">
        <v>188</v>
      </c>
      <c r="B22" s="19">
        <f>SUBTOTAL(101,Table1[3. Agreement Scale Indicate your level of agreement on a 7- point scale: (1 = Strongly disagree, 2 = Disagree, 3 = Moderately disagree, 4 = Neither agree nor disagree, 5 = Moderately agree, 6 = Agree, 7 = Strongly agree.) '[We face problem of intense compe])</f>
        <v>4.5999999999999996</v>
      </c>
    </row>
    <row r="23" spans="1:2" x14ac:dyDescent="0.3">
      <c r="A23" s="20" t="s">
        <v>189</v>
      </c>
      <c r="B23" s="19">
        <f>SUBTOTAL(101,Table1[3. Agreement Scale Indicate your level of agreement on a 7- point scale: (1 = Strongly disagree, 2 = Disagree, 3 = Moderately disagree, 4 = Neither agree nor disagree, 5 = Moderately agree, 6 = Agree, 7 = Strongly agree.) '[High production cost is one of t])</f>
        <v>4.4000000000000004</v>
      </c>
    </row>
    <row r="24" spans="1:2" ht="28.8" customHeight="1" x14ac:dyDescent="0.3">
      <c r="A24" s="21" t="s">
        <v>190</v>
      </c>
      <c r="B24" s="19">
        <f>SUBTOTAL(101,Table1[3. Agreement Scale Indicate your level of agreement on a 7- point scale: (1 = Strongly disagree, 2 = Disagree, 3 = Moderately disagree, 4 = Neither agree nor disagree, 5 = Moderately agree, 6 = Agree, 7 = Strongly agree.) '[Managing pricing across differen])</f>
        <v>4.4666666666666668</v>
      </c>
    </row>
    <row r="25" spans="1:2" ht="34.200000000000003" customHeight="1" x14ac:dyDescent="0.3">
      <c r="A25" s="21" t="s">
        <v>191</v>
      </c>
      <c r="B25" s="19">
        <f>SUBTOTAL(101,Table1[3. Agreement Scale Indicate your level of agreement on a 7- point scale: (1 = Strongly disagree, 2 = Disagree, 3 = Moderately disagree, 4 = Neither agree nor disagree, 5 = Moderately agree, 6 = Agree, 7 = Strongly agree.) '[We use technology tools/software])</f>
        <v>3.9666666666666668</v>
      </c>
    </row>
    <row r="26" spans="1:2" ht="37.799999999999997" customHeight="1" x14ac:dyDescent="0.3">
      <c r="A26" s="21" t="s">
        <v>192</v>
      </c>
      <c r="B26" s="19">
        <f>SUBTOTAL(101,Table1[3. Agreement Scale Indicate your level of agreement on a 7- point scale: (1 = Strongly disagree, 2 = Disagree, 3 = Moderately disagree, 4 = Neither agree nor disagree, 5 = Moderately agree, 6 = Agree, 7 = Strongly agree.) '[Automation tools help us manage ])</f>
        <v>4.2</v>
      </c>
    </row>
    <row r="27" spans="1:2" ht="28.8" x14ac:dyDescent="0.3">
      <c r="A27" s="21" t="s">
        <v>193</v>
      </c>
      <c r="B27" s="19">
        <f>SUBTOTAL(101,Table1[2. Importance Scale – Rate the importance of the following factors for promotional efforts: (1 = Not Important at All, 2= Somewhat important, 3 = Moderately Important, 4= Very Important, 5 = Extremely Important) Indicate your agreement on the Agreement Sc])</f>
        <v>3.8666666666666667</v>
      </c>
    </row>
    <row r="28" spans="1:2" ht="16.8" customHeight="1" x14ac:dyDescent="0.3">
      <c r="A28" s="21" t="s">
        <v>194</v>
      </c>
      <c r="B28" s="19">
        <f>SUBTOTAL(101,Table1[2. Importance Scale – Rate the importance of the following factors for promotional efforts: (1 = Not Important at All, 2= Somewhat important, 3 = Moderately Important, 4= Very Important, 5 = Extremely Important) Indicate your agreement on the Agreement2])</f>
        <v>3.6666666666666665</v>
      </c>
    </row>
    <row r="29" spans="1:2" ht="19.2" customHeight="1" x14ac:dyDescent="0.3">
      <c r="A29" s="21" t="s">
        <v>195</v>
      </c>
      <c r="B29" s="19">
        <f>SUBTOTAL(101,Table1[2. Importance Scale – Rate the importance of the following factors for promotional efforts: (1 = Not Important at All, 2= Somewhat important, 3 = Moderately Important, 4= Very Important, 5 = Extremely Important) Indicate your agreement on the Agreement3])</f>
        <v>3.8</v>
      </c>
    </row>
    <row r="30" spans="1:2" x14ac:dyDescent="0.3">
      <c r="A30" s="21" t="s">
        <v>196</v>
      </c>
      <c r="B30" s="19">
        <f>SUBTOTAL(101,Table1[2. Importance Scale – Rate the importance of the following factors for promotional efforts: (1 = Not Important at All, 2= Somewhat important, 3 = Moderately Important, 4= Very Important, 5 = Extremely Important) Indicate your agreement on the Agreement4])</f>
        <v>3.4333333333333331</v>
      </c>
    </row>
    <row r="31" spans="1:2" ht="28.8" x14ac:dyDescent="0.3">
      <c r="A31" s="21" t="s">
        <v>197</v>
      </c>
      <c r="B31" s="19">
        <f>SUBTOTAL(101,Table1[2. Importance Scale – Rate the importance of the following factors for promotional efforts: (1 = Not Important at All, 2= Somewhat important, 3 = Moderately Important, 4= Very Important, 5 = Extremely Important) Indicate your agreement on the Agreement5])</f>
        <v>3.4666666666666668</v>
      </c>
    </row>
    <row r="32" spans="1:2" ht="28.8" x14ac:dyDescent="0.3">
      <c r="A32" s="21" t="s">
        <v>198</v>
      </c>
      <c r="B32" s="19">
        <f>SUBTOTAL(101,Table1[2. Importance Scale – Rate the importance of the following factors for Distribution Strategy: ) ) ) ) ) ) (1 = Not Important at All, 2= Somewhat important, 3 = Moderately Important, 4= Very Important, 5 = Extremely Important) '[How important is a wide reac])</f>
        <v>3.8333333333333335</v>
      </c>
    </row>
    <row r="33" spans="1:2" ht="28.8" x14ac:dyDescent="0.3">
      <c r="A33" s="21" t="s">
        <v>199</v>
      </c>
      <c r="B33" s="19">
        <f>SUBTOTAL(101,Table1[2. Importance Scale – Rate the importance of the following factors for Distribution Strategy: ) ) ) ) ) ) (1 = Not Important at All, 2= Somewhat important, 3 = Moderately Important, 4= Very Important, 5 = Extremely Important) '[How important is Digital Pla])</f>
        <v>3.5</v>
      </c>
    </row>
    <row r="34" spans="1:2" x14ac:dyDescent="0.3">
      <c r="A34" s="21" t="s">
        <v>200</v>
      </c>
      <c r="B34" s="19">
        <f>SUBTOTAL(101,Table1[2. Importance Scale – Rate the importance of the following factors for Distribution Strategy: ) ) ) ) ) ) (1 = Not Important at All, 2= Somewhat important, 3 = Moderately Important, 4= Very Important, 5 = Extremely Important) '[Nature of Product']])</f>
        <v>3.7333333333333334</v>
      </c>
    </row>
    <row r="35" spans="1:2" x14ac:dyDescent="0.3">
      <c r="A35" s="21" t="s">
        <v>201</v>
      </c>
      <c r="B35" s="19">
        <f>SUBTOTAL(101,Table1[2. Importance Scale – Rate the importance of the following factors for Distribution Strategy: ) ) ) ) ) ) (1 = Not Important at All, 2= Somewhat important, 3 = Moderately Important, 4= Very Important, 5 = Extremely Important) '[Nature of Market']])</f>
        <v>3.5666666666666669</v>
      </c>
    </row>
    <row r="36" spans="1:2" x14ac:dyDescent="0.3">
      <c r="A36" s="21" t="s">
        <v>202</v>
      </c>
      <c r="B36" s="19">
        <f>SUBTOTAL(101,Table1[2. Importance Scale – Rate the importance of the following factors for Distribution Strategy: ) ) ) ) ) ) (1 = Not Important at All, 2= Somewhat important, 3 = Moderately Important, 4= Very Important, 5 = Extremely Important) '[Buying habits of the consume])</f>
        <v>3.4</v>
      </c>
    </row>
    <row r="37" spans="1:2" x14ac:dyDescent="0.3">
      <c r="A37" s="21" t="s">
        <v>203</v>
      </c>
      <c r="B37" s="19">
        <f>SUBTOTAL(101,Table1[2. Importance Scale – Rate the importance of the following factors for Distribution Strategy: ) ) ) ) ) ) (1 = Not Important at All, 2= Somewhat important, 3 = Moderately Important, 4= Very Important, 5 = Extremely Important) '[Competition']])</f>
        <v>3.6333333333333333</v>
      </c>
    </row>
    <row r="38" spans="1:2" x14ac:dyDescent="0.3">
      <c r="A38" s="21" t="s">
        <v>204</v>
      </c>
      <c r="B38" s="19">
        <f>SUBTOTAL(101,Table1[2. Importance Scale – Rate the importance of the following factors for Distribution Strategy: ) ) ) ) ) ) (1 = Not Important at All, 2= Somewhat important, 3 = Moderately Important, 4= Very Important, 5 = Extremely Important) '[Government Regulations']])</f>
        <v>3.5</v>
      </c>
    </row>
    <row r="39" spans="1:2" x14ac:dyDescent="0.3">
      <c r="A39" s="21" t="s">
        <v>205</v>
      </c>
      <c r="B39" s="19">
        <f>SUBTOTAL(101,Table1[Rate the following challenges in terms of their significance to your marketing efforts (1 = Most Significant, 5 = Least Significant): '[Limited marketing budget']])</f>
        <v>2.4666666666666668</v>
      </c>
    </row>
    <row r="40" spans="1:2" ht="28.8" x14ac:dyDescent="0.3">
      <c r="A40" s="21" t="s">
        <v>206</v>
      </c>
      <c r="B40" s="19">
        <f>SUBTOTAL(101,Table1[Rate the following challenges in terms of their significance to your marketing efforts (1 = Most Significant, 5 = Least Significant): '[Lack of in-house marketing expertise']])</f>
        <v>2.5</v>
      </c>
    </row>
    <row r="41" spans="1:2" x14ac:dyDescent="0.3">
      <c r="A41" s="21" t="s">
        <v>207</v>
      </c>
      <c r="B41" s="19">
        <f>SUBTOTAL(101,Table1[Rate the following challenges in terms of their significance to your marketing efforts (1 = Most Significant, 5 = Least Significant): '[Difficulty in identifying and targeting the right audience']])</f>
        <v>2.4333333333333331</v>
      </c>
    </row>
    <row r="42" spans="1:2" x14ac:dyDescent="0.3">
      <c r="A42" s="21" t="s">
        <v>208</v>
      </c>
      <c r="B42" s="19">
        <f>SUBTOTAL(101,Table1[Rate the following challenges in terms of their significance to your marketing efforts (1 = Most Significant, 5 = Least Significant): '[Intense competition within the tech industry']])</f>
        <v>2.2333333333333334</v>
      </c>
    </row>
    <row r="43" spans="1:2" ht="28.8" x14ac:dyDescent="0.3">
      <c r="A43" s="21" t="s">
        <v>209</v>
      </c>
      <c r="B43" s="19">
        <f>SUBTOTAL(101,Table1[Rate the following challenges in terms of their significance to your marketing efforts (1 = Most Significant, 5 = Least Significant): '[Rapidly changing digital marketing landscape/algorithms']])</f>
        <v>2.3666666666666667</v>
      </c>
    </row>
    <row r="44" spans="1:2" x14ac:dyDescent="0.3">
      <c r="A44" s="21" t="s">
        <v>210</v>
      </c>
      <c r="B44" s="19">
        <f>SUBTOTAL(101,Table1[Rate the following challenges in terms of their significance to your marketing efforts (1 = Most Significant, 5 = Least Significant): '[Measuring Return on Investment (ROI) effectively']])</f>
        <v>2.0333333333333332</v>
      </c>
    </row>
    <row r="45" spans="1:2" ht="28.8" x14ac:dyDescent="0.3">
      <c r="A45" s="21" t="s">
        <v>211</v>
      </c>
      <c r="B45" s="19">
        <f>SUBTOTAL(101,Table1[Rate the following challenges in terms of their significance to your marketing efforts (1 = Most Significant, 5 = Least Significant): '[Building brand awareness and recognition']])</f>
        <v>2.2666666666666666</v>
      </c>
    </row>
    <row r="46" spans="1:2" x14ac:dyDescent="0.3">
      <c r="A46" s="21" t="s">
        <v>212</v>
      </c>
      <c r="B46" s="19">
        <f>SUBTOTAL(101,Table1[Rate the following challenges in terms of their significance to your marketing efforts (1 = Most Significant, 5 = Least Significant): '[Customer acquisition and retention']])</f>
        <v>2.1666666666666665</v>
      </c>
    </row>
    <row r="47" spans="1:2" ht="28.8" x14ac:dyDescent="0.3">
      <c r="A47" s="21" t="s">
        <v>213</v>
      </c>
      <c r="B47" s="19">
        <f>SUBTOTAL(101,Table1[Rate the following challenges in terms of their significance to your marketing efforts (1 = Most Significant, 5 = Least Significant): '[Data privacy and compliance concerns']])</f>
        <v>2.3333333333333335</v>
      </c>
    </row>
    <row r="48" spans="1:2" ht="28.8" x14ac:dyDescent="0.3">
      <c r="A48" s="21" t="s">
        <v>214</v>
      </c>
      <c r="B48" s="19">
        <f>SUBTOTAL(101,Table1[Rate the following challenges in terms of their significance to your marketing efforts (1 = Most Significant, 5 = Least Significant): '[Resistance to change or adoption of new technologies by the target market']])</f>
        <v>2.4333333333333331</v>
      </c>
    </row>
    <row r="54" spans="1:10" x14ac:dyDescent="0.3">
      <c r="A54" s="29" t="s">
        <v>259</v>
      </c>
      <c r="B54" s="29" t="s">
        <v>178</v>
      </c>
      <c r="C54" s="28"/>
      <c r="D54" s="28"/>
      <c r="E54" s="22"/>
      <c r="F54" s="22"/>
    </row>
    <row r="55" spans="1:10" ht="44.4" customHeight="1" x14ac:dyDescent="0.3">
      <c r="A55" s="29" t="s">
        <v>176</v>
      </c>
      <c r="B55" s="28" t="s">
        <v>7</v>
      </c>
      <c r="C55" s="28" t="s">
        <v>6</v>
      </c>
      <c r="D55" s="28" t="s">
        <v>177</v>
      </c>
      <c r="G55" s="38" t="s">
        <v>271</v>
      </c>
      <c r="J55" s="38" t="s">
        <v>272</v>
      </c>
    </row>
    <row r="56" spans="1:10" x14ac:dyDescent="0.3">
      <c r="A56" s="20" t="s">
        <v>16</v>
      </c>
      <c r="B56" s="28">
        <v>1</v>
      </c>
      <c r="C56" s="28">
        <v>3</v>
      </c>
      <c r="D56" s="28">
        <v>4</v>
      </c>
    </row>
    <row r="57" spans="1:10" x14ac:dyDescent="0.3">
      <c r="A57" s="20" t="s">
        <v>13</v>
      </c>
      <c r="B57" s="28">
        <v>2</v>
      </c>
      <c r="C57" s="28">
        <v>15</v>
      </c>
      <c r="D57" s="28">
        <v>17</v>
      </c>
    </row>
    <row r="58" spans="1:10" x14ac:dyDescent="0.3">
      <c r="A58" s="20" t="s">
        <v>15</v>
      </c>
      <c r="B58" s="28">
        <v>1</v>
      </c>
      <c r="C58" s="28"/>
      <c r="D58" s="28">
        <v>1</v>
      </c>
    </row>
    <row r="59" spans="1:10" x14ac:dyDescent="0.3">
      <c r="A59" s="20" t="s">
        <v>10</v>
      </c>
      <c r="B59" s="28">
        <v>2</v>
      </c>
      <c r="C59" s="28">
        <v>6</v>
      </c>
      <c r="D59" s="28">
        <v>8</v>
      </c>
    </row>
    <row r="60" spans="1:10" x14ac:dyDescent="0.3">
      <c r="A60" s="20" t="s">
        <v>177</v>
      </c>
      <c r="B60" s="28">
        <v>6</v>
      </c>
      <c r="C60" s="28">
        <v>24</v>
      </c>
      <c r="D60" s="28">
        <v>30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6ECB2-18B1-4AA9-B4DB-B37CF77BA798}">
  <dimension ref="A1:AI11"/>
  <sheetViews>
    <sheetView topLeftCell="A3" zoomScale="40" zoomScaleNormal="40" workbookViewId="0">
      <selection activeCell="D3" sqref="D3"/>
    </sheetView>
  </sheetViews>
  <sheetFormatPr defaultRowHeight="14.4" x14ac:dyDescent="0.3"/>
  <cols>
    <col min="1" max="1" width="48.33203125" customWidth="1"/>
    <col min="2" max="2" width="17.5546875" customWidth="1"/>
    <col min="3" max="3" width="15.6640625" customWidth="1"/>
    <col min="4" max="4" width="16" customWidth="1"/>
    <col min="5" max="5" width="16.44140625" customWidth="1"/>
    <col min="6" max="6" width="14.33203125" customWidth="1"/>
    <col min="7" max="7" width="12.6640625" customWidth="1"/>
    <col min="8" max="10" width="13.21875" customWidth="1"/>
    <col min="11" max="11" width="11.33203125" customWidth="1"/>
    <col min="12" max="12" width="14.21875" customWidth="1"/>
    <col min="13" max="13" width="10.44140625" customWidth="1"/>
    <col min="14" max="14" width="10.33203125" customWidth="1"/>
    <col min="15" max="15" width="11.44140625" customWidth="1"/>
    <col min="16" max="16" width="10.88671875" customWidth="1"/>
    <col min="17" max="17" width="13.109375" customWidth="1"/>
    <col min="18" max="18" width="14.109375" customWidth="1"/>
    <col min="19" max="19" width="14.21875" customWidth="1"/>
    <col min="20" max="20" width="16" customWidth="1"/>
    <col min="21" max="21" width="15.77734375" customWidth="1"/>
    <col min="22" max="22" width="13.88671875" customWidth="1"/>
    <col min="23" max="23" width="14.6640625" customWidth="1"/>
    <col min="24" max="24" width="16.6640625" customWidth="1"/>
    <col min="25" max="25" width="14.33203125" customWidth="1"/>
    <col min="26" max="26" width="16.109375" customWidth="1"/>
    <col min="27" max="27" width="13.109375" customWidth="1"/>
    <col min="28" max="28" width="14.77734375" customWidth="1"/>
    <col min="29" max="29" width="12.6640625" customWidth="1"/>
    <col min="30" max="30" width="12.109375" customWidth="1"/>
    <col min="31" max="31" width="14.88671875" bestFit="1" customWidth="1"/>
    <col min="32" max="32" width="12.88671875" customWidth="1"/>
    <col min="33" max="34" width="13.44140625" customWidth="1"/>
    <col min="35" max="35" width="13.88671875" customWidth="1"/>
  </cols>
  <sheetData>
    <row r="1" spans="1:35" hidden="1" x14ac:dyDescent="0.3"/>
    <row r="2" spans="1:35" hidden="1" x14ac:dyDescent="0.3"/>
    <row r="3" spans="1:35" s="25" customFormat="1" ht="237.6" customHeight="1" x14ac:dyDescent="0.3">
      <c r="A3" s="42" t="s">
        <v>176</v>
      </c>
      <c r="B3" s="43" t="s">
        <v>277</v>
      </c>
      <c r="C3" s="43" t="s">
        <v>276</v>
      </c>
      <c r="D3" s="43" t="s">
        <v>275</v>
      </c>
      <c r="E3" s="43" t="s">
        <v>273</v>
      </c>
      <c r="F3" s="43" t="s">
        <v>274</v>
      </c>
      <c r="G3" s="43" t="s">
        <v>278</v>
      </c>
      <c r="H3" s="43" t="s">
        <v>279</v>
      </c>
      <c r="I3" s="43" t="s">
        <v>280</v>
      </c>
      <c r="J3" s="43" t="s">
        <v>281</v>
      </c>
      <c r="K3" s="43" t="s">
        <v>282</v>
      </c>
      <c r="L3" s="43" t="s">
        <v>283</v>
      </c>
      <c r="M3" s="43" t="s">
        <v>284</v>
      </c>
      <c r="N3" s="43" t="s">
        <v>285</v>
      </c>
      <c r="O3" s="43" t="s">
        <v>291</v>
      </c>
      <c r="P3" s="43" t="s">
        <v>286</v>
      </c>
      <c r="Q3" s="43" t="s">
        <v>287</v>
      </c>
      <c r="R3" s="43" t="s">
        <v>288</v>
      </c>
      <c r="S3" s="43" t="s">
        <v>289</v>
      </c>
      <c r="T3" s="43" t="s">
        <v>297</v>
      </c>
      <c r="U3" s="43" t="s">
        <v>296</v>
      </c>
      <c r="V3" s="43" t="s">
        <v>295</v>
      </c>
      <c r="W3" s="43" t="s">
        <v>294</v>
      </c>
      <c r="X3" s="43" t="s">
        <v>290</v>
      </c>
      <c r="Y3" s="43" t="s">
        <v>298</v>
      </c>
      <c r="Z3" s="43" t="s">
        <v>299</v>
      </c>
      <c r="AA3" s="43" t="s">
        <v>300</v>
      </c>
      <c r="AB3" s="43" t="s">
        <v>301</v>
      </c>
      <c r="AC3" s="43" t="s">
        <v>302</v>
      </c>
      <c r="AD3" s="43" t="s">
        <v>303</v>
      </c>
      <c r="AE3" s="43" t="s">
        <v>292</v>
      </c>
      <c r="AF3" s="43" t="s">
        <v>304</v>
      </c>
      <c r="AG3" s="43" t="s">
        <v>305</v>
      </c>
      <c r="AH3" s="43" t="s">
        <v>306</v>
      </c>
      <c r="AI3" s="43" t="s">
        <v>293</v>
      </c>
    </row>
    <row r="4" spans="1:35" ht="43.8" customHeight="1" x14ac:dyDescent="0.4">
      <c r="A4" s="44" t="s">
        <v>11</v>
      </c>
      <c r="B4" s="28">
        <v>2</v>
      </c>
      <c r="C4" s="28">
        <v>2</v>
      </c>
      <c r="D4" s="31">
        <v>2</v>
      </c>
      <c r="E4" s="28">
        <v>4</v>
      </c>
      <c r="F4" s="28">
        <v>2</v>
      </c>
      <c r="G4" s="28">
        <v>2</v>
      </c>
      <c r="H4" s="28">
        <v>3</v>
      </c>
      <c r="I4" s="28">
        <v>2</v>
      </c>
      <c r="J4" s="28">
        <v>4</v>
      </c>
      <c r="K4" s="28">
        <v>4</v>
      </c>
      <c r="L4" s="28">
        <v>3</v>
      </c>
      <c r="M4" s="28">
        <v>3</v>
      </c>
      <c r="N4" s="28">
        <v>4</v>
      </c>
      <c r="O4" s="28">
        <v>4</v>
      </c>
      <c r="P4" s="28">
        <v>4</v>
      </c>
      <c r="Q4" s="28">
        <v>4</v>
      </c>
      <c r="R4" s="28">
        <v>5</v>
      </c>
      <c r="S4" s="28">
        <v>4</v>
      </c>
      <c r="T4" s="28">
        <v>4</v>
      </c>
      <c r="U4" s="28">
        <v>5</v>
      </c>
      <c r="V4" s="28">
        <v>4</v>
      </c>
      <c r="W4" s="28">
        <v>4</v>
      </c>
      <c r="X4" s="28">
        <v>5</v>
      </c>
      <c r="Y4" s="28">
        <v>5</v>
      </c>
      <c r="Z4" s="28">
        <v>4</v>
      </c>
      <c r="AA4" s="28">
        <v>4</v>
      </c>
      <c r="AB4" s="28">
        <v>6</v>
      </c>
      <c r="AC4" s="28">
        <v>5</v>
      </c>
      <c r="AD4" s="28">
        <v>5</v>
      </c>
      <c r="AE4" s="28">
        <v>4</v>
      </c>
      <c r="AF4" s="28">
        <v>6</v>
      </c>
      <c r="AG4" s="45">
        <v>5</v>
      </c>
      <c r="AH4" s="28">
        <v>4</v>
      </c>
      <c r="AI4" s="28">
        <v>5</v>
      </c>
    </row>
    <row r="5" spans="1:35" ht="42.6" customHeight="1" x14ac:dyDescent="0.4">
      <c r="A5" s="44" t="s">
        <v>12</v>
      </c>
      <c r="B5" s="28">
        <v>1</v>
      </c>
      <c r="C5" s="28">
        <v>1</v>
      </c>
      <c r="D5" s="31">
        <v>1</v>
      </c>
      <c r="E5" s="28">
        <v>7</v>
      </c>
      <c r="F5" s="28">
        <v>1</v>
      </c>
      <c r="G5" s="28">
        <v>1</v>
      </c>
      <c r="H5" s="28">
        <v>1</v>
      </c>
      <c r="I5" s="28">
        <v>1</v>
      </c>
      <c r="J5" s="28">
        <v>1</v>
      </c>
      <c r="K5" s="28">
        <v>1</v>
      </c>
      <c r="L5" s="28">
        <v>1</v>
      </c>
      <c r="M5" s="28">
        <v>5</v>
      </c>
      <c r="N5" s="28">
        <v>5</v>
      </c>
      <c r="O5" s="28">
        <v>5</v>
      </c>
      <c r="P5" s="28">
        <v>5</v>
      </c>
      <c r="Q5" s="28">
        <v>5</v>
      </c>
      <c r="R5" s="28">
        <v>5</v>
      </c>
      <c r="S5" s="28">
        <v>5</v>
      </c>
      <c r="T5" s="28">
        <v>5</v>
      </c>
      <c r="U5" s="28">
        <v>5</v>
      </c>
      <c r="V5" s="28">
        <v>5</v>
      </c>
      <c r="W5" s="28">
        <v>5</v>
      </c>
      <c r="X5" s="28">
        <v>5</v>
      </c>
      <c r="Y5" s="28">
        <v>7</v>
      </c>
      <c r="Z5" s="28">
        <v>7</v>
      </c>
      <c r="AA5" s="28">
        <v>7</v>
      </c>
      <c r="AB5" s="28">
        <v>7</v>
      </c>
      <c r="AC5" s="28">
        <v>7</v>
      </c>
      <c r="AD5" s="28">
        <v>7</v>
      </c>
      <c r="AE5" s="28">
        <v>5</v>
      </c>
      <c r="AF5" s="28">
        <v>7</v>
      </c>
      <c r="AG5" s="45">
        <v>5</v>
      </c>
      <c r="AH5" s="28">
        <v>5</v>
      </c>
      <c r="AI5" s="28">
        <v>5</v>
      </c>
    </row>
    <row r="6" spans="1:35" ht="26.4" customHeight="1" x14ac:dyDescent="0.4">
      <c r="A6" s="44" t="s">
        <v>18</v>
      </c>
      <c r="B6" s="28">
        <v>2</v>
      </c>
      <c r="C6" s="28">
        <v>2</v>
      </c>
      <c r="D6" s="31">
        <v>2</v>
      </c>
      <c r="E6" s="28">
        <v>7</v>
      </c>
      <c r="F6" s="28">
        <v>2</v>
      </c>
      <c r="G6" s="28">
        <v>1</v>
      </c>
      <c r="H6" s="28">
        <v>1</v>
      </c>
      <c r="I6" s="28">
        <v>1</v>
      </c>
      <c r="J6" s="28">
        <v>1</v>
      </c>
      <c r="K6" s="28">
        <v>1</v>
      </c>
      <c r="L6" s="28">
        <v>5</v>
      </c>
      <c r="M6" s="28">
        <v>5</v>
      </c>
      <c r="N6" s="28">
        <v>5</v>
      </c>
      <c r="O6" s="28">
        <v>5</v>
      </c>
      <c r="P6" s="28">
        <v>5</v>
      </c>
      <c r="Q6" s="28">
        <v>5</v>
      </c>
      <c r="R6" s="28">
        <v>5</v>
      </c>
      <c r="S6" s="28">
        <v>5</v>
      </c>
      <c r="T6" s="28">
        <v>5</v>
      </c>
      <c r="U6" s="28">
        <v>5</v>
      </c>
      <c r="V6" s="28">
        <v>5</v>
      </c>
      <c r="W6" s="28">
        <v>5</v>
      </c>
      <c r="X6" s="28">
        <v>5</v>
      </c>
      <c r="Y6" s="28">
        <v>6</v>
      </c>
      <c r="Z6" s="28">
        <v>6</v>
      </c>
      <c r="AA6" s="28">
        <v>6</v>
      </c>
      <c r="AB6" s="28">
        <v>6</v>
      </c>
      <c r="AC6" s="28">
        <v>7</v>
      </c>
      <c r="AD6" s="28">
        <v>7</v>
      </c>
      <c r="AE6" s="28">
        <v>5</v>
      </c>
      <c r="AF6" s="28">
        <v>7</v>
      </c>
      <c r="AG6" s="45">
        <v>5</v>
      </c>
      <c r="AH6" s="28">
        <v>5</v>
      </c>
      <c r="AI6" s="28">
        <v>5</v>
      </c>
    </row>
    <row r="7" spans="1:35" ht="28.8" customHeight="1" x14ac:dyDescent="0.4">
      <c r="A7" s="44" t="s">
        <v>14</v>
      </c>
      <c r="B7" s="28">
        <v>1.8333333333333333</v>
      </c>
      <c r="C7" s="28">
        <v>1.8333333333333333</v>
      </c>
      <c r="D7" s="31">
        <v>1.8333333333333333</v>
      </c>
      <c r="E7" s="28">
        <v>4.333333333333333</v>
      </c>
      <c r="F7" s="28">
        <v>1.6666666666666667</v>
      </c>
      <c r="G7" s="28">
        <v>1.6666666666666667</v>
      </c>
      <c r="H7" s="28">
        <v>2</v>
      </c>
      <c r="I7" s="28">
        <v>1.6666666666666667</v>
      </c>
      <c r="J7" s="28">
        <v>1.8333333333333333</v>
      </c>
      <c r="K7" s="28">
        <v>1.8333333333333333</v>
      </c>
      <c r="L7" s="28">
        <v>1.8333333333333333</v>
      </c>
      <c r="M7" s="28">
        <v>3.5</v>
      </c>
      <c r="N7" s="28">
        <v>3.3333333333333335</v>
      </c>
      <c r="O7" s="28">
        <v>3.1666666666666665</v>
      </c>
      <c r="P7" s="28">
        <v>3.5</v>
      </c>
      <c r="Q7" s="28">
        <v>3.3333333333333335</v>
      </c>
      <c r="R7" s="28">
        <v>3.5</v>
      </c>
      <c r="S7" s="28">
        <v>3.5</v>
      </c>
      <c r="T7" s="28">
        <v>3</v>
      </c>
      <c r="U7" s="28">
        <v>3.6666666666666665</v>
      </c>
      <c r="V7" s="28">
        <v>3.3333333333333335</v>
      </c>
      <c r="W7" s="28">
        <v>3.1666666666666665</v>
      </c>
      <c r="X7" s="28">
        <v>3.8333333333333335</v>
      </c>
      <c r="Y7" s="28">
        <v>4.333333333333333</v>
      </c>
      <c r="Z7" s="28">
        <v>4.666666666666667</v>
      </c>
      <c r="AA7" s="28">
        <v>4.333333333333333</v>
      </c>
      <c r="AB7" s="28">
        <v>4</v>
      </c>
      <c r="AC7" s="28">
        <v>4.666666666666667</v>
      </c>
      <c r="AD7" s="28">
        <v>4.333333333333333</v>
      </c>
      <c r="AE7" s="28">
        <v>3.5</v>
      </c>
      <c r="AF7" s="28">
        <v>4.166666666666667</v>
      </c>
      <c r="AG7" s="45">
        <v>3.6666666666666665</v>
      </c>
      <c r="AH7" s="28">
        <v>3.3333333333333335</v>
      </c>
      <c r="AI7" s="28">
        <v>3.1666666666666665</v>
      </c>
    </row>
    <row r="8" spans="1:35" ht="37.200000000000003" customHeight="1" x14ac:dyDescent="0.4">
      <c r="A8" s="44" t="s">
        <v>128</v>
      </c>
      <c r="B8" s="28">
        <v>3</v>
      </c>
      <c r="C8" s="28">
        <v>3.5</v>
      </c>
      <c r="D8" s="31">
        <v>3.25</v>
      </c>
      <c r="E8" s="28">
        <v>3</v>
      </c>
      <c r="F8" s="28">
        <v>2.25</v>
      </c>
      <c r="G8" s="28">
        <v>2.5</v>
      </c>
      <c r="H8" s="28">
        <v>3.5</v>
      </c>
      <c r="I8" s="28">
        <v>2.75</v>
      </c>
      <c r="J8" s="28">
        <v>3.25</v>
      </c>
      <c r="K8" s="28">
        <v>3</v>
      </c>
      <c r="L8" s="28">
        <v>3</v>
      </c>
      <c r="M8" s="28">
        <v>3</v>
      </c>
      <c r="N8" s="28">
        <v>4</v>
      </c>
      <c r="O8" s="28">
        <v>2</v>
      </c>
      <c r="P8" s="28">
        <v>4</v>
      </c>
      <c r="Q8" s="28">
        <v>3.75</v>
      </c>
      <c r="R8" s="28">
        <v>2</v>
      </c>
      <c r="S8" s="28">
        <v>3.5</v>
      </c>
      <c r="T8" s="28">
        <v>3</v>
      </c>
      <c r="U8" s="28">
        <v>2.5</v>
      </c>
      <c r="V8" s="28">
        <v>3.75</v>
      </c>
      <c r="W8" s="28">
        <v>3.5</v>
      </c>
      <c r="X8" s="28">
        <v>4.5</v>
      </c>
      <c r="Y8" s="28">
        <v>2.75</v>
      </c>
      <c r="Z8" s="28">
        <v>3.75</v>
      </c>
      <c r="AA8" s="28">
        <v>4</v>
      </c>
      <c r="AB8" s="28">
        <v>5.5</v>
      </c>
      <c r="AC8" s="28">
        <v>5.5</v>
      </c>
      <c r="AD8" s="28">
        <v>5.5</v>
      </c>
      <c r="AE8" s="28">
        <v>3.25</v>
      </c>
      <c r="AF8" s="28">
        <v>4.75</v>
      </c>
      <c r="AG8" s="45">
        <v>4.5</v>
      </c>
      <c r="AH8" s="28">
        <v>3.75</v>
      </c>
      <c r="AI8" s="28">
        <v>4</v>
      </c>
    </row>
    <row r="9" spans="1:35" ht="33" customHeight="1" x14ac:dyDescent="0.4">
      <c r="A9" s="44" t="s">
        <v>124</v>
      </c>
      <c r="B9" s="28">
        <v>4</v>
      </c>
      <c r="C9" s="28">
        <v>4</v>
      </c>
      <c r="D9" s="31">
        <v>5</v>
      </c>
      <c r="E9" s="28">
        <v>6</v>
      </c>
      <c r="F9" s="28">
        <v>5</v>
      </c>
      <c r="G9" s="28">
        <v>4</v>
      </c>
      <c r="H9" s="28">
        <v>5</v>
      </c>
      <c r="I9" s="28">
        <v>4</v>
      </c>
      <c r="J9" s="28">
        <v>4</v>
      </c>
      <c r="K9" s="28">
        <v>4</v>
      </c>
      <c r="L9" s="28">
        <v>5</v>
      </c>
      <c r="M9" s="28">
        <v>5</v>
      </c>
      <c r="N9" s="28">
        <v>5</v>
      </c>
      <c r="O9" s="28">
        <v>5</v>
      </c>
      <c r="P9" s="28">
        <v>4</v>
      </c>
      <c r="Q9" s="28">
        <v>5</v>
      </c>
      <c r="R9" s="28">
        <v>5</v>
      </c>
      <c r="S9" s="28">
        <v>4</v>
      </c>
      <c r="T9" s="28">
        <v>5</v>
      </c>
      <c r="U9" s="28">
        <v>5</v>
      </c>
      <c r="V9" s="28">
        <v>4</v>
      </c>
      <c r="W9" s="28">
        <v>5</v>
      </c>
      <c r="X9" s="28">
        <v>4</v>
      </c>
      <c r="Y9" s="28">
        <v>5</v>
      </c>
      <c r="Z9" s="28">
        <v>6</v>
      </c>
      <c r="AA9" s="28">
        <v>7</v>
      </c>
      <c r="AB9" s="28">
        <v>7</v>
      </c>
      <c r="AC9" s="28">
        <v>7</v>
      </c>
      <c r="AD9" s="28">
        <v>6</v>
      </c>
      <c r="AE9" s="28">
        <v>3</v>
      </c>
      <c r="AF9" s="28">
        <v>6</v>
      </c>
      <c r="AG9" s="45">
        <v>5</v>
      </c>
      <c r="AH9" s="28">
        <v>4</v>
      </c>
      <c r="AI9" s="28">
        <v>5</v>
      </c>
    </row>
    <row r="10" spans="1:35" ht="36" customHeight="1" x14ac:dyDescent="0.4">
      <c r="A10" s="44" t="s">
        <v>126</v>
      </c>
      <c r="B10" s="28">
        <v>1</v>
      </c>
      <c r="C10" s="28">
        <v>2</v>
      </c>
      <c r="D10" s="31">
        <v>1</v>
      </c>
      <c r="E10" s="28">
        <v>2</v>
      </c>
      <c r="F10" s="28">
        <v>1</v>
      </c>
      <c r="G10" s="28">
        <v>1</v>
      </c>
      <c r="H10" s="28">
        <v>1</v>
      </c>
      <c r="I10" s="28">
        <v>4</v>
      </c>
      <c r="J10" s="28">
        <v>3</v>
      </c>
      <c r="K10" s="28">
        <v>1</v>
      </c>
      <c r="L10" s="28">
        <v>1</v>
      </c>
      <c r="M10" s="28">
        <v>5</v>
      </c>
      <c r="N10" s="28">
        <v>2</v>
      </c>
      <c r="O10" s="28">
        <v>5</v>
      </c>
      <c r="P10" s="28">
        <v>5</v>
      </c>
      <c r="Q10" s="28">
        <v>3</v>
      </c>
      <c r="R10" s="28">
        <v>4</v>
      </c>
      <c r="S10" s="28">
        <v>5</v>
      </c>
      <c r="T10" s="28">
        <v>5</v>
      </c>
      <c r="U10" s="28">
        <v>4</v>
      </c>
      <c r="V10" s="28">
        <v>5</v>
      </c>
      <c r="W10" s="28">
        <v>5</v>
      </c>
      <c r="X10" s="28">
        <v>5</v>
      </c>
      <c r="Y10" s="28">
        <v>2</v>
      </c>
      <c r="Z10" s="28">
        <v>5</v>
      </c>
      <c r="AA10" s="28">
        <v>2</v>
      </c>
      <c r="AB10" s="28">
        <v>6</v>
      </c>
      <c r="AC10" s="28">
        <v>2</v>
      </c>
      <c r="AD10" s="28">
        <v>3</v>
      </c>
      <c r="AE10" s="28">
        <v>5</v>
      </c>
      <c r="AF10" s="28">
        <v>4</v>
      </c>
      <c r="AG10" s="45">
        <v>4</v>
      </c>
      <c r="AH10" s="28">
        <v>5</v>
      </c>
      <c r="AI10" s="28">
        <v>3</v>
      </c>
    </row>
    <row r="11" spans="1:35" ht="43.8" customHeight="1" x14ac:dyDescent="0.4">
      <c r="A11" s="44" t="s">
        <v>17</v>
      </c>
      <c r="B11" s="28">
        <v>2.1333333333333333</v>
      </c>
      <c r="C11" s="28">
        <v>2.4666666666666668</v>
      </c>
      <c r="D11" s="31">
        <v>2.3333333333333335</v>
      </c>
      <c r="E11" s="28">
        <v>4.1333333333333337</v>
      </c>
      <c r="F11" s="28">
        <v>2.5333333333333332</v>
      </c>
      <c r="G11" s="28">
        <v>2.1333333333333333</v>
      </c>
      <c r="H11" s="28">
        <v>2.2666666666666666</v>
      </c>
      <c r="I11" s="28">
        <v>2.2666666666666666</v>
      </c>
      <c r="J11" s="28">
        <v>2.4</v>
      </c>
      <c r="K11" s="28">
        <v>2.7333333333333334</v>
      </c>
      <c r="L11" s="28">
        <v>2.4</v>
      </c>
      <c r="M11" s="28">
        <v>3.2666666666666666</v>
      </c>
      <c r="N11" s="28">
        <v>3.4666666666666668</v>
      </c>
      <c r="O11" s="28">
        <v>3.4</v>
      </c>
      <c r="P11" s="28">
        <v>3.1333333333333333</v>
      </c>
      <c r="Q11" s="28">
        <v>3.6666666666666665</v>
      </c>
      <c r="R11" s="28">
        <v>3.4666666666666668</v>
      </c>
      <c r="S11" s="28">
        <v>3.8</v>
      </c>
      <c r="T11" s="28">
        <v>3.3333333333333335</v>
      </c>
      <c r="U11" s="28">
        <v>3.1333333333333333</v>
      </c>
      <c r="V11" s="28">
        <v>3.7333333333333334</v>
      </c>
      <c r="W11" s="28">
        <v>3.5333333333333332</v>
      </c>
      <c r="X11" s="28">
        <v>3.4</v>
      </c>
      <c r="Y11" s="28">
        <v>3.8</v>
      </c>
      <c r="Z11" s="28">
        <v>4.2</v>
      </c>
      <c r="AA11" s="28">
        <v>4.2666666666666666</v>
      </c>
      <c r="AB11" s="28">
        <v>4.4666666666666668</v>
      </c>
      <c r="AC11" s="28">
        <v>4</v>
      </c>
      <c r="AD11" s="28">
        <v>4.0666666666666664</v>
      </c>
      <c r="AE11" s="28">
        <v>3.3333333333333335</v>
      </c>
      <c r="AF11" s="28">
        <v>4.5999999999999996</v>
      </c>
      <c r="AG11" s="45">
        <v>4</v>
      </c>
      <c r="AH11" s="28">
        <v>3.3333333333333335</v>
      </c>
      <c r="AI11" s="28">
        <v>3.6666666666666665</v>
      </c>
    </row>
  </sheetData>
  <conditionalFormatting pivot="1" sqref="B4:AI11">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94C1F-5205-4DA2-AA65-4C9D2B695004}">
  <dimension ref="A1:B481"/>
  <sheetViews>
    <sheetView tabSelected="1" workbookViewId="0">
      <selection activeCell="G6" sqref="G6"/>
    </sheetView>
  </sheetViews>
  <sheetFormatPr defaultRowHeight="14.4" x14ac:dyDescent="0.3"/>
  <cols>
    <col min="1" max="1" width="35.88671875" style="18" customWidth="1"/>
    <col min="2" max="2" width="37.88671875" style="18" customWidth="1"/>
  </cols>
  <sheetData>
    <row r="1" spans="1:2" x14ac:dyDescent="0.3">
      <c r="A1" s="18" t="s">
        <v>216</v>
      </c>
      <c r="B1" s="18" t="s">
        <v>217</v>
      </c>
    </row>
    <row r="2" spans="1:2" ht="28.8" x14ac:dyDescent="0.3">
      <c r="A2" s="18" t="s">
        <v>9</v>
      </c>
      <c r="B2" s="18" t="s">
        <v>11</v>
      </c>
    </row>
    <row r="3" spans="1:2" ht="28.8" x14ac:dyDescent="0.3">
      <c r="A3" s="18" t="s">
        <v>19</v>
      </c>
      <c r="B3" s="18" t="s">
        <v>20</v>
      </c>
    </row>
    <row r="4" spans="1:2" ht="28.8" x14ac:dyDescent="0.3">
      <c r="A4" s="18" t="s">
        <v>24</v>
      </c>
      <c r="B4" s="18" t="s">
        <v>56</v>
      </c>
    </row>
    <row r="5" spans="1:2" x14ac:dyDescent="0.3">
      <c r="A5" s="18" t="s">
        <v>25</v>
      </c>
      <c r="B5" s="18" t="s">
        <v>57</v>
      </c>
    </row>
    <row r="6" spans="1:2" ht="28.8" x14ac:dyDescent="0.3">
      <c r="A6" s="18" t="s">
        <v>26</v>
      </c>
      <c r="B6" s="18" t="s">
        <v>58</v>
      </c>
    </row>
    <row r="7" spans="1:2" ht="28.8" x14ac:dyDescent="0.3">
      <c r="A7" s="18" t="s">
        <v>27</v>
      </c>
      <c r="B7" s="18" t="s">
        <v>59</v>
      </c>
    </row>
    <row r="8" spans="1:2" ht="28.8" x14ac:dyDescent="0.3">
      <c r="A8" s="18" t="s">
        <v>28</v>
      </c>
      <c r="B8" s="18" t="s">
        <v>60</v>
      </c>
    </row>
    <row r="9" spans="1:2" ht="43.2" x14ac:dyDescent="0.3">
      <c r="A9" s="18" t="s">
        <v>33</v>
      </c>
      <c r="B9" s="18" t="s">
        <v>226</v>
      </c>
    </row>
    <row r="10" spans="1:2" ht="28.8" x14ac:dyDescent="0.3">
      <c r="A10" s="18" t="s">
        <v>34</v>
      </c>
      <c r="B10" s="18" t="s">
        <v>227</v>
      </c>
    </row>
    <row r="11" spans="1:2" ht="43.2" x14ac:dyDescent="0.3">
      <c r="A11" s="18" t="s">
        <v>35</v>
      </c>
      <c r="B11" s="18" t="s">
        <v>228</v>
      </c>
    </row>
    <row r="12" spans="1:2" ht="43.2" x14ac:dyDescent="0.3">
      <c r="A12" s="18" t="s">
        <v>36</v>
      </c>
      <c r="B12" s="18" t="s">
        <v>62</v>
      </c>
    </row>
    <row r="13" spans="1:2" ht="43.2" x14ac:dyDescent="0.3">
      <c r="A13" s="18" t="s">
        <v>37</v>
      </c>
      <c r="B13" s="18" t="s">
        <v>246</v>
      </c>
    </row>
    <row r="14" spans="1:2" ht="43.2" x14ac:dyDescent="0.3">
      <c r="A14" s="18" t="s">
        <v>42</v>
      </c>
      <c r="B14" s="18" t="s">
        <v>63</v>
      </c>
    </row>
    <row r="15" spans="1:2" ht="43.2" x14ac:dyDescent="0.3">
      <c r="A15" s="18" t="s">
        <v>43</v>
      </c>
      <c r="B15" s="18" t="s">
        <v>64</v>
      </c>
    </row>
    <row r="16" spans="1:2" ht="43.2" x14ac:dyDescent="0.3">
      <c r="A16" s="18" t="s">
        <v>44</v>
      </c>
      <c r="B16" s="18" t="s">
        <v>65</v>
      </c>
    </row>
    <row r="17" spans="1:2" ht="43.2" x14ac:dyDescent="0.3">
      <c r="A17" s="18" t="s">
        <v>45</v>
      </c>
      <c r="B17" s="18" t="s">
        <v>66</v>
      </c>
    </row>
    <row r="18" spans="1:2" ht="28.8" x14ac:dyDescent="0.3">
      <c r="A18" s="18" t="s">
        <v>9</v>
      </c>
      <c r="B18" s="18" t="s">
        <v>14</v>
      </c>
    </row>
    <row r="19" spans="1:2" ht="28.8" x14ac:dyDescent="0.3">
      <c r="A19" s="18" t="s">
        <v>19</v>
      </c>
      <c r="B19" s="18" t="s">
        <v>21</v>
      </c>
    </row>
    <row r="20" spans="1:2" ht="28.8" x14ac:dyDescent="0.3">
      <c r="A20" s="18" t="s">
        <v>24</v>
      </c>
      <c r="B20" s="18" t="s">
        <v>56</v>
      </c>
    </row>
    <row r="21" spans="1:2" x14ac:dyDescent="0.3">
      <c r="A21" s="18" t="s">
        <v>25</v>
      </c>
      <c r="B21" s="18" t="s">
        <v>75</v>
      </c>
    </row>
    <row r="22" spans="1:2" ht="28.8" x14ac:dyDescent="0.3">
      <c r="A22" s="18" t="s">
        <v>26</v>
      </c>
      <c r="B22" s="18" t="s">
        <v>76</v>
      </c>
    </row>
    <row r="23" spans="1:2" ht="28.8" x14ac:dyDescent="0.3">
      <c r="A23" s="18" t="s">
        <v>27</v>
      </c>
      <c r="B23" s="18" t="s">
        <v>77</v>
      </c>
    </row>
    <row r="24" spans="1:2" ht="28.8" x14ac:dyDescent="0.3">
      <c r="A24" s="18" t="s">
        <v>28</v>
      </c>
      <c r="B24" s="18" t="s">
        <v>60</v>
      </c>
    </row>
    <row r="25" spans="1:2" ht="43.2" x14ac:dyDescent="0.3">
      <c r="A25" s="18" t="s">
        <v>33</v>
      </c>
      <c r="B25" s="18" t="s">
        <v>226</v>
      </c>
    </row>
    <row r="26" spans="1:2" ht="28.8" x14ac:dyDescent="0.3">
      <c r="A26" s="18" t="s">
        <v>34</v>
      </c>
      <c r="B26" s="18" t="s">
        <v>227</v>
      </c>
    </row>
    <row r="27" spans="1:2" ht="43.2" x14ac:dyDescent="0.3">
      <c r="A27" s="18" t="s">
        <v>35</v>
      </c>
      <c r="B27" s="18" t="s">
        <v>229</v>
      </c>
    </row>
    <row r="28" spans="1:2" ht="43.2" x14ac:dyDescent="0.3">
      <c r="A28" s="18" t="s">
        <v>36</v>
      </c>
      <c r="B28" s="18" t="s">
        <v>62</v>
      </c>
    </row>
    <row r="29" spans="1:2" ht="43.2" x14ac:dyDescent="0.3">
      <c r="A29" s="18" t="s">
        <v>37</v>
      </c>
      <c r="B29" s="18" t="s">
        <v>78</v>
      </c>
    </row>
    <row r="30" spans="1:2" ht="43.2" x14ac:dyDescent="0.3">
      <c r="A30" s="18" t="s">
        <v>42</v>
      </c>
      <c r="B30" s="18" t="s">
        <v>79</v>
      </c>
    </row>
    <row r="31" spans="1:2" ht="43.2" x14ac:dyDescent="0.3">
      <c r="A31" s="18" t="s">
        <v>43</v>
      </c>
      <c r="B31" s="18" t="s">
        <v>64</v>
      </c>
    </row>
    <row r="32" spans="1:2" ht="43.2" x14ac:dyDescent="0.3">
      <c r="A32" s="18" t="s">
        <v>44</v>
      </c>
      <c r="B32" s="18" t="s">
        <v>65</v>
      </c>
    </row>
    <row r="33" spans="1:2" ht="43.2" x14ac:dyDescent="0.3">
      <c r="A33" s="18" t="s">
        <v>45</v>
      </c>
      <c r="B33" s="18" t="s">
        <v>69</v>
      </c>
    </row>
    <row r="34" spans="1:2" ht="28.8" x14ac:dyDescent="0.3">
      <c r="A34" s="18" t="s">
        <v>9</v>
      </c>
      <c r="B34" s="18" t="s">
        <v>17</v>
      </c>
    </row>
    <row r="35" spans="1:2" ht="28.8" x14ac:dyDescent="0.3">
      <c r="A35" s="18" t="s">
        <v>19</v>
      </c>
      <c r="B35" s="18" t="s">
        <v>21</v>
      </c>
    </row>
    <row r="36" spans="1:2" ht="28.8" x14ac:dyDescent="0.3">
      <c r="A36" s="18" t="s">
        <v>24</v>
      </c>
      <c r="B36" s="18" t="s">
        <v>80</v>
      </c>
    </row>
    <row r="37" spans="1:2" x14ac:dyDescent="0.3">
      <c r="A37" s="18" t="s">
        <v>25</v>
      </c>
      <c r="B37" s="18" t="s">
        <v>57</v>
      </c>
    </row>
    <row r="38" spans="1:2" ht="28.8" x14ac:dyDescent="0.3">
      <c r="A38" s="18" t="s">
        <v>26</v>
      </c>
      <c r="B38" s="18" t="s">
        <v>58</v>
      </c>
    </row>
    <row r="39" spans="1:2" ht="28.8" x14ac:dyDescent="0.3">
      <c r="A39" s="18" t="s">
        <v>27</v>
      </c>
      <c r="B39" s="18" t="s">
        <v>82</v>
      </c>
    </row>
    <row r="40" spans="1:2" ht="28.8" x14ac:dyDescent="0.3">
      <c r="A40" s="18" t="s">
        <v>28</v>
      </c>
      <c r="B40" s="18" t="s">
        <v>83</v>
      </c>
    </row>
    <row r="41" spans="1:2" ht="43.2" x14ac:dyDescent="0.3">
      <c r="A41" s="18" t="s">
        <v>33</v>
      </c>
      <c r="B41" s="18" t="s">
        <v>225</v>
      </c>
    </row>
    <row r="42" spans="1:2" ht="28.8" x14ac:dyDescent="0.3">
      <c r="A42" s="18" t="s">
        <v>34</v>
      </c>
      <c r="B42" s="18" t="s">
        <v>89</v>
      </c>
    </row>
    <row r="43" spans="1:2" ht="43.2" x14ac:dyDescent="0.3">
      <c r="A43" s="18" t="s">
        <v>35</v>
      </c>
      <c r="B43" s="18" t="s">
        <v>230</v>
      </c>
    </row>
    <row r="44" spans="1:2" ht="43.2" x14ac:dyDescent="0.3">
      <c r="A44" s="18" t="s">
        <v>36</v>
      </c>
      <c r="B44" s="18" t="s">
        <v>84</v>
      </c>
    </row>
    <row r="45" spans="1:2" ht="43.2" x14ac:dyDescent="0.3">
      <c r="A45" s="18" t="s">
        <v>37</v>
      </c>
      <c r="B45" s="18" t="s">
        <v>247</v>
      </c>
    </row>
    <row r="46" spans="1:2" ht="43.2" x14ac:dyDescent="0.3">
      <c r="A46" s="18" t="s">
        <v>42</v>
      </c>
      <c r="B46" s="18" t="s">
        <v>94</v>
      </c>
    </row>
    <row r="47" spans="1:2" ht="43.2" x14ac:dyDescent="0.3">
      <c r="A47" s="18" t="s">
        <v>43</v>
      </c>
      <c r="B47" s="18" t="s">
        <v>64</v>
      </c>
    </row>
    <row r="48" spans="1:2" ht="43.2" x14ac:dyDescent="0.3">
      <c r="A48" s="18" t="s">
        <v>44</v>
      </c>
      <c r="B48" s="18" t="s">
        <v>58</v>
      </c>
    </row>
    <row r="49" spans="1:2" ht="43.2" x14ac:dyDescent="0.3">
      <c r="A49" s="18" t="s">
        <v>45</v>
      </c>
      <c r="B49" s="18" t="s">
        <v>95</v>
      </c>
    </row>
    <row r="50" spans="1:2" ht="28.8" x14ac:dyDescent="0.3">
      <c r="A50" s="18" t="s">
        <v>9</v>
      </c>
      <c r="B50" s="18" t="s">
        <v>17</v>
      </c>
    </row>
    <row r="51" spans="1:2" ht="28.8" x14ac:dyDescent="0.3">
      <c r="A51" s="18" t="s">
        <v>19</v>
      </c>
      <c r="B51" s="18" t="s">
        <v>22</v>
      </c>
    </row>
    <row r="52" spans="1:2" ht="28.8" x14ac:dyDescent="0.3">
      <c r="A52" s="18" t="s">
        <v>24</v>
      </c>
      <c r="B52" s="18" t="s">
        <v>56</v>
      </c>
    </row>
    <row r="53" spans="1:2" x14ac:dyDescent="0.3">
      <c r="A53" s="18" t="s">
        <v>25</v>
      </c>
      <c r="B53" s="18" t="s">
        <v>57</v>
      </c>
    </row>
    <row r="54" spans="1:2" ht="28.8" x14ac:dyDescent="0.3">
      <c r="A54" s="18" t="s">
        <v>26</v>
      </c>
      <c r="B54" s="18" t="s">
        <v>71</v>
      </c>
    </row>
    <row r="55" spans="1:2" ht="28.8" x14ac:dyDescent="0.3">
      <c r="A55" s="18" t="s">
        <v>27</v>
      </c>
      <c r="B55" s="18" t="s">
        <v>175</v>
      </c>
    </row>
    <row r="56" spans="1:2" ht="28.8" x14ac:dyDescent="0.3">
      <c r="A56" s="18" t="s">
        <v>28</v>
      </c>
      <c r="B56" s="18" t="s">
        <v>83</v>
      </c>
    </row>
    <row r="57" spans="1:2" ht="43.2" x14ac:dyDescent="0.3">
      <c r="A57" s="18" t="s">
        <v>33</v>
      </c>
      <c r="B57" s="18" t="s">
        <v>224</v>
      </c>
    </row>
    <row r="58" spans="1:2" ht="28.8" x14ac:dyDescent="0.3">
      <c r="A58" s="18" t="s">
        <v>34</v>
      </c>
      <c r="B58" s="18" t="s">
        <v>73</v>
      </c>
    </row>
    <row r="59" spans="1:2" ht="43.2" x14ac:dyDescent="0.3">
      <c r="A59" s="18" t="s">
        <v>35</v>
      </c>
      <c r="B59" s="18" t="s">
        <v>231</v>
      </c>
    </row>
    <row r="60" spans="1:2" ht="43.2" x14ac:dyDescent="0.3">
      <c r="A60" s="18" t="s">
        <v>36</v>
      </c>
      <c r="B60" s="18" t="s">
        <v>99</v>
      </c>
    </row>
    <row r="61" spans="1:2" ht="43.2" x14ac:dyDescent="0.3">
      <c r="A61" s="18" t="s">
        <v>37</v>
      </c>
      <c r="B61" s="18" t="s">
        <v>248</v>
      </c>
    </row>
    <row r="62" spans="1:2" ht="43.2" x14ac:dyDescent="0.3">
      <c r="A62" s="18" t="s">
        <v>42</v>
      </c>
      <c r="B62" s="18" t="s">
        <v>100</v>
      </c>
    </row>
    <row r="63" spans="1:2" ht="43.2" x14ac:dyDescent="0.3">
      <c r="A63" s="18" t="s">
        <v>43</v>
      </c>
      <c r="B63" s="18" t="s">
        <v>64</v>
      </c>
    </row>
    <row r="64" spans="1:2" ht="43.2" x14ac:dyDescent="0.3">
      <c r="A64" s="18" t="s">
        <v>44</v>
      </c>
      <c r="B64" s="18" t="s">
        <v>65</v>
      </c>
    </row>
    <row r="65" spans="1:2" ht="43.2" x14ac:dyDescent="0.3">
      <c r="A65" s="18" t="s">
        <v>45</v>
      </c>
      <c r="B65" s="18" t="s">
        <v>98</v>
      </c>
    </row>
    <row r="66" spans="1:2" ht="28.8" x14ac:dyDescent="0.3">
      <c r="A66" s="18" t="s">
        <v>9</v>
      </c>
      <c r="B66" s="18" t="s">
        <v>18</v>
      </c>
    </row>
    <row r="67" spans="1:2" ht="28.8" x14ac:dyDescent="0.3">
      <c r="A67" s="18" t="s">
        <v>19</v>
      </c>
      <c r="B67" s="18" t="s">
        <v>22</v>
      </c>
    </row>
    <row r="68" spans="1:2" ht="28.8" x14ac:dyDescent="0.3">
      <c r="A68" s="18" t="s">
        <v>24</v>
      </c>
      <c r="B68" s="18" t="s">
        <v>80</v>
      </c>
    </row>
    <row r="69" spans="1:2" x14ac:dyDescent="0.3">
      <c r="A69" s="18" t="s">
        <v>25</v>
      </c>
      <c r="B69" s="18" t="s">
        <v>57</v>
      </c>
    </row>
    <row r="70" spans="1:2" ht="28.8" x14ac:dyDescent="0.3">
      <c r="A70" s="18" t="s">
        <v>26</v>
      </c>
      <c r="B70" s="18" t="s">
        <v>76</v>
      </c>
    </row>
    <row r="71" spans="1:2" ht="28.8" x14ac:dyDescent="0.3">
      <c r="A71" s="18" t="s">
        <v>27</v>
      </c>
      <c r="B71" s="18" t="s">
        <v>175</v>
      </c>
    </row>
    <row r="72" spans="1:2" ht="28.8" x14ac:dyDescent="0.3">
      <c r="A72" s="18" t="s">
        <v>28</v>
      </c>
      <c r="B72" s="18" t="s">
        <v>83</v>
      </c>
    </row>
    <row r="73" spans="1:2" ht="43.2" x14ac:dyDescent="0.3">
      <c r="A73" s="18" t="s">
        <v>33</v>
      </c>
      <c r="B73" s="18" t="s">
        <v>224</v>
      </c>
    </row>
    <row r="74" spans="1:2" ht="28.8" x14ac:dyDescent="0.3">
      <c r="A74" s="18" t="s">
        <v>34</v>
      </c>
      <c r="B74" s="18" t="s">
        <v>89</v>
      </c>
    </row>
    <row r="75" spans="1:2" ht="43.2" x14ac:dyDescent="0.3">
      <c r="A75" s="18" t="s">
        <v>35</v>
      </c>
      <c r="B75" s="18" t="s">
        <v>232</v>
      </c>
    </row>
    <row r="76" spans="1:2" ht="43.2" x14ac:dyDescent="0.3">
      <c r="A76" s="18" t="s">
        <v>36</v>
      </c>
      <c r="B76" s="18" t="s">
        <v>68</v>
      </c>
    </row>
    <row r="77" spans="1:2" ht="43.2" x14ac:dyDescent="0.3">
      <c r="A77" s="18" t="s">
        <v>37</v>
      </c>
      <c r="B77" s="18" t="s">
        <v>249</v>
      </c>
    </row>
    <row r="78" spans="1:2" ht="72" x14ac:dyDescent="0.3">
      <c r="A78" s="18" t="s">
        <v>42</v>
      </c>
      <c r="B78" s="18" t="s">
        <v>101</v>
      </c>
    </row>
    <row r="79" spans="1:2" ht="43.2" x14ac:dyDescent="0.3">
      <c r="A79" s="18" t="s">
        <v>43</v>
      </c>
      <c r="B79" s="18" t="s">
        <v>64</v>
      </c>
    </row>
    <row r="80" spans="1:2" ht="43.2" x14ac:dyDescent="0.3">
      <c r="A80" s="18" t="s">
        <v>44</v>
      </c>
      <c r="B80" s="18" t="s">
        <v>76</v>
      </c>
    </row>
    <row r="81" spans="1:2" ht="43.2" x14ac:dyDescent="0.3">
      <c r="A81" s="18" t="s">
        <v>45</v>
      </c>
      <c r="B81" s="18" t="s">
        <v>69</v>
      </c>
    </row>
    <row r="82" spans="1:2" ht="28.8" x14ac:dyDescent="0.3">
      <c r="A82" s="18" t="s">
        <v>9</v>
      </c>
      <c r="B82" s="18" t="s">
        <v>12</v>
      </c>
    </row>
    <row r="83" spans="1:2" ht="28.8" x14ac:dyDescent="0.3">
      <c r="A83" s="18" t="s">
        <v>19</v>
      </c>
      <c r="B83" s="18" t="s">
        <v>20</v>
      </c>
    </row>
    <row r="84" spans="1:2" ht="28.8" x14ac:dyDescent="0.3">
      <c r="A84" s="18" t="s">
        <v>24</v>
      </c>
      <c r="B84" s="18" t="s">
        <v>102</v>
      </c>
    </row>
    <row r="85" spans="1:2" x14ac:dyDescent="0.3">
      <c r="A85" s="18" t="s">
        <v>25</v>
      </c>
      <c r="B85" s="18" t="s">
        <v>57</v>
      </c>
    </row>
    <row r="86" spans="1:2" ht="28.8" x14ac:dyDescent="0.3">
      <c r="A86" s="18" t="s">
        <v>26</v>
      </c>
      <c r="B86" s="18" t="s">
        <v>76</v>
      </c>
    </row>
    <row r="87" spans="1:2" ht="28.8" x14ac:dyDescent="0.3">
      <c r="A87" s="18" t="s">
        <v>27</v>
      </c>
      <c r="B87" s="18" t="s">
        <v>82</v>
      </c>
    </row>
    <row r="88" spans="1:2" ht="28.8" x14ac:dyDescent="0.3">
      <c r="A88" s="18" t="s">
        <v>28</v>
      </c>
      <c r="B88" s="18" t="s">
        <v>83</v>
      </c>
    </row>
    <row r="89" spans="1:2" ht="43.2" x14ac:dyDescent="0.3">
      <c r="A89" s="18" t="s">
        <v>33</v>
      </c>
      <c r="B89" s="18" t="s">
        <v>219</v>
      </c>
    </row>
    <row r="90" spans="1:2" ht="28.8" x14ac:dyDescent="0.3">
      <c r="A90" s="18" t="s">
        <v>34</v>
      </c>
      <c r="B90" s="18" t="s">
        <v>59</v>
      </c>
    </row>
    <row r="91" spans="1:2" ht="43.2" x14ac:dyDescent="0.3">
      <c r="A91" s="18" t="s">
        <v>35</v>
      </c>
      <c r="B91" s="18" t="s">
        <v>233</v>
      </c>
    </row>
    <row r="92" spans="1:2" ht="43.2" x14ac:dyDescent="0.3">
      <c r="A92" s="18" t="s">
        <v>36</v>
      </c>
      <c r="B92" s="18" t="s">
        <v>68</v>
      </c>
    </row>
    <row r="93" spans="1:2" ht="43.2" x14ac:dyDescent="0.3">
      <c r="A93" s="18" t="s">
        <v>37</v>
      </c>
      <c r="B93" s="18" t="s">
        <v>250</v>
      </c>
    </row>
    <row r="94" spans="1:2" ht="43.2" x14ac:dyDescent="0.3">
      <c r="A94" s="18" t="s">
        <v>42</v>
      </c>
      <c r="B94" s="18" t="s">
        <v>103</v>
      </c>
    </row>
    <row r="95" spans="1:2" ht="43.2" x14ac:dyDescent="0.3">
      <c r="A95" s="18" t="s">
        <v>43</v>
      </c>
      <c r="B95" s="18" t="s">
        <v>64</v>
      </c>
    </row>
    <row r="96" spans="1:2" ht="43.2" x14ac:dyDescent="0.3">
      <c r="A96" s="18" t="s">
        <v>44</v>
      </c>
      <c r="B96" s="18" t="s">
        <v>76</v>
      </c>
    </row>
    <row r="97" spans="1:2" ht="43.2" x14ac:dyDescent="0.3">
      <c r="A97" s="18" t="s">
        <v>45</v>
      </c>
      <c r="B97" s="18" t="s">
        <v>66</v>
      </c>
    </row>
    <row r="98" spans="1:2" ht="28.8" x14ac:dyDescent="0.3">
      <c r="A98" s="18" t="s">
        <v>9</v>
      </c>
      <c r="B98" s="18" t="s">
        <v>14</v>
      </c>
    </row>
    <row r="99" spans="1:2" ht="28.8" x14ac:dyDescent="0.3">
      <c r="A99" s="18" t="s">
        <v>19</v>
      </c>
      <c r="B99" s="18" t="s">
        <v>21</v>
      </c>
    </row>
    <row r="100" spans="1:2" ht="28.8" x14ac:dyDescent="0.3">
      <c r="A100" s="18" t="s">
        <v>24</v>
      </c>
      <c r="B100" s="18" t="s">
        <v>102</v>
      </c>
    </row>
    <row r="101" spans="1:2" x14ac:dyDescent="0.3">
      <c r="A101" s="18" t="s">
        <v>25</v>
      </c>
      <c r="B101" s="18" t="s">
        <v>70</v>
      </c>
    </row>
    <row r="102" spans="1:2" ht="28.8" x14ac:dyDescent="0.3">
      <c r="A102" s="18" t="s">
        <v>26</v>
      </c>
      <c r="B102" s="18" t="s">
        <v>76</v>
      </c>
    </row>
    <row r="103" spans="1:2" ht="28.8" x14ac:dyDescent="0.3">
      <c r="A103" s="18" t="s">
        <v>27</v>
      </c>
      <c r="B103" s="18" t="s">
        <v>59</v>
      </c>
    </row>
    <row r="104" spans="1:2" ht="28.8" x14ac:dyDescent="0.3">
      <c r="A104" s="18" t="s">
        <v>28</v>
      </c>
      <c r="B104" s="18" t="s">
        <v>83</v>
      </c>
    </row>
    <row r="105" spans="1:2" ht="43.2" x14ac:dyDescent="0.3">
      <c r="A105" s="18" t="s">
        <v>33</v>
      </c>
      <c r="B105" s="18" t="s">
        <v>220</v>
      </c>
    </row>
    <row r="106" spans="1:2" ht="28.8" x14ac:dyDescent="0.3">
      <c r="A106" s="18" t="s">
        <v>34</v>
      </c>
      <c r="B106" s="18" t="s">
        <v>59</v>
      </c>
    </row>
    <row r="107" spans="1:2" ht="43.2" x14ac:dyDescent="0.3">
      <c r="A107" s="18" t="s">
        <v>35</v>
      </c>
      <c r="B107" s="18" t="s">
        <v>234</v>
      </c>
    </row>
    <row r="108" spans="1:2" ht="43.2" x14ac:dyDescent="0.3">
      <c r="A108" s="18" t="s">
        <v>36</v>
      </c>
      <c r="B108" s="18" t="s">
        <v>97</v>
      </c>
    </row>
    <row r="109" spans="1:2" ht="43.2" x14ac:dyDescent="0.3">
      <c r="A109" s="18" t="s">
        <v>37</v>
      </c>
      <c r="B109" s="18" t="s">
        <v>248</v>
      </c>
    </row>
    <row r="110" spans="1:2" ht="43.2" x14ac:dyDescent="0.3">
      <c r="A110" s="18" t="s">
        <v>42</v>
      </c>
      <c r="B110" s="18" t="s">
        <v>104</v>
      </c>
    </row>
    <row r="111" spans="1:2" ht="43.2" x14ac:dyDescent="0.3">
      <c r="A111" s="18" t="s">
        <v>43</v>
      </c>
      <c r="B111" s="18" t="s">
        <v>64</v>
      </c>
    </row>
    <row r="112" spans="1:2" ht="43.2" x14ac:dyDescent="0.3">
      <c r="A112" s="18" t="s">
        <v>44</v>
      </c>
      <c r="B112" s="18" t="s">
        <v>76</v>
      </c>
    </row>
    <row r="113" spans="1:2" ht="43.2" x14ac:dyDescent="0.3">
      <c r="A113" s="18" t="s">
        <v>45</v>
      </c>
      <c r="B113" s="18" t="s">
        <v>105</v>
      </c>
    </row>
    <row r="114" spans="1:2" ht="28.8" x14ac:dyDescent="0.3">
      <c r="A114" s="18" t="s">
        <v>9</v>
      </c>
      <c r="B114" s="18" t="s">
        <v>17</v>
      </c>
    </row>
    <row r="115" spans="1:2" ht="28.8" x14ac:dyDescent="0.3">
      <c r="A115" s="18" t="s">
        <v>19</v>
      </c>
      <c r="B115" s="18" t="s">
        <v>21</v>
      </c>
    </row>
    <row r="116" spans="1:2" ht="28.8" x14ac:dyDescent="0.3">
      <c r="A116" s="18" t="s">
        <v>24</v>
      </c>
      <c r="B116" s="18" t="s">
        <v>56</v>
      </c>
    </row>
    <row r="117" spans="1:2" x14ac:dyDescent="0.3">
      <c r="A117" s="18" t="s">
        <v>25</v>
      </c>
      <c r="B117" s="18" t="s">
        <v>57</v>
      </c>
    </row>
    <row r="118" spans="1:2" ht="28.8" x14ac:dyDescent="0.3">
      <c r="A118" s="18" t="s">
        <v>26</v>
      </c>
      <c r="B118" s="18" t="s">
        <v>58</v>
      </c>
    </row>
    <row r="119" spans="1:2" ht="28.8" x14ac:dyDescent="0.3">
      <c r="A119" s="18" t="s">
        <v>27</v>
      </c>
      <c r="B119" s="18" t="s">
        <v>59</v>
      </c>
    </row>
    <row r="120" spans="1:2" ht="28.8" x14ac:dyDescent="0.3">
      <c r="A120" s="18" t="s">
        <v>28</v>
      </c>
      <c r="B120" s="18" t="s">
        <v>83</v>
      </c>
    </row>
    <row r="121" spans="1:2" ht="43.2" x14ac:dyDescent="0.3">
      <c r="A121" s="18" t="s">
        <v>33</v>
      </c>
      <c r="B121" s="18" t="s">
        <v>221</v>
      </c>
    </row>
    <row r="122" spans="1:2" ht="28.8" x14ac:dyDescent="0.3">
      <c r="A122" s="18" t="s">
        <v>34</v>
      </c>
      <c r="B122" s="18" t="s">
        <v>227</v>
      </c>
    </row>
    <row r="123" spans="1:2" ht="43.2" x14ac:dyDescent="0.3">
      <c r="A123" s="18" t="s">
        <v>35</v>
      </c>
      <c r="B123" s="18" t="s">
        <v>229</v>
      </c>
    </row>
    <row r="124" spans="1:2" ht="43.2" x14ac:dyDescent="0.3">
      <c r="A124" s="18" t="s">
        <v>36</v>
      </c>
      <c r="B124" s="18" t="s">
        <v>97</v>
      </c>
    </row>
    <row r="125" spans="1:2" ht="43.2" x14ac:dyDescent="0.3">
      <c r="A125" s="18" t="s">
        <v>37</v>
      </c>
      <c r="B125" s="18" t="s">
        <v>251</v>
      </c>
    </row>
    <row r="126" spans="1:2" ht="43.2" x14ac:dyDescent="0.3">
      <c r="A126" s="18" t="s">
        <v>42</v>
      </c>
      <c r="B126" s="18" t="s">
        <v>107</v>
      </c>
    </row>
    <row r="127" spans="1:2" ht="43.2" x14ac:dyDescent="0.3">
      <c r="A127" s="18" t="s">
        <v>43</v>
      </c>
      <c r="B127" s="18" t="s">
        <v>96</v>
      </c>
    </row>
    <row r="128" spans="1:2" ht="43.2" x14ac:dyDescent="0.3">
      <c r="A128" s="18" t="s">
        <v>44</v>
      </c>
      <c r="B128" s="18" t="s">
        <v>58</v>
      </c>
    </row>
    <row r="129" spans="1:2" ht="43.2" x14ac:dyDescent="0.3">
      <c r="A129" s="18" t="s">
        <v>45</v>
      </c>
      <c r="B129" s="18" t="s">
        <v>69</v>
      </c>
    </row>
    <row r="130" spans="1:2" ht="28.8" x14ac:dyDescent="0.3">
      <c r="A130" s="18" t="s">
        <v>9</v>
      </c>
      <c r="B130" s="18" t="s">
        <v>17</v>
      </c>
    </row>
    <row r="131" spans="1:2" ht="28.8" x14ac:dyDescent="0.3">
      <c r="A131" s="18" t="s">
        <v>19</v>
      </c>
      <c r="B131" s="18" t="s">
        <v>21</v>
      </c>
    </row>
    <row r="132" spans="1:2" ht="28.8" x14ac:dyDescent="0.3">
      <c r="A132" s="18" t="s">
        <v>24</v>
      </c>
      <c r="B132" s="18" t="s">
        <v>108</v>
      </c>
    </row>
    <row r="133" spans="1:2" x14ac:dyDescent="0.3">
      <c r="A133" s="18" t="s">
        <v>25</v>
      </c>
      <c r="B133" s="18" t="s">
        <v>70</v>
      </c>
    </row>
    <row r="134" spans="1:2" ht="28.8" x14ac:dyDescent="0.3">
      <c r="A134" s="18" t="s">
        <v>26</v>
      </c>
      <c r="B134" s="18" t="s">
        <v>58</v>
      </c>
    </row>
    <row r="135" spans="1:2" ht="28.8" x14ac:dyDescent="0.3">
      <c r="A135" s="18" t="s">
        <v>27</v>
      </c>
      <c r="B135" s="18" t="s">
        <v>175</v>
      </c>
    </row>
    <row r="136" spans="1:2" ht="28.8" x14ac:dyDescent="0.3">
      <c r="A136" s="18" t="s">
        <v>28</v>
      </c>
      <c r="B136" s="18" t="s">
        <v>83</v>
      </c>
    </row>
    <row r="137" spans="1:2" ht="43.2" x14ac:dyDescent="0.3">
      <c r="A137" s="18" t="s">
        <v>33</v>
      </c>
      <c r="B137" s="18" t="s">
        <v>221</v>
      </c>
    </row>
    <row r="138" spans="1:2" ht="28.8" x14ac:dyDescent="0.3">
      <c r="A138" s="18" t="s">
        <v>34</v>
      </c>
      <c r="B138" s="18" t="s">
        <v>227</v>
      </c>
    </row>
    <row r="139" spans="1:2" ht="43.2" x14ac:dyDescent="0.3">
      <c r="A139" s="18" t="s">
        <v>35</v>
      </c>
      <c r="B139" s="18" t="s">
        <v>235</v>
      </c>
    </row>
    <row r="140" spans="1:2" ht="43.2" x14ac:dyDescent="0.3">
      <c r="A140" s="18" t="s">
        <v>36</v>
      </c>
      <c r="B140" s="18" t="s">
        <v>68</v>
      </c>
    </row>
    <row r="141" spans="1:2" ht="43.2" x14ac:dyDescent="0.3">
      <c r="A141" s="18" t="s">
        <v>37</v>
      </c>
      <c r="B141" s="18" t="s">
        <v>252</v>
      </c>
    </row>
    <row r="142" spans="1:2" ht="43.2" x14ac:dyDescent="0.3">
      <c r="A142" s="18" t="s">
        <v>42</v>
      </c>
      <c r="B142" s="18" t="s">
        <v>109</v>
      </c>
    </row>
    <row r="143" spans="1:2" ht="43.2" x14ac:dyDescent="0.3">
      <c r="A143" s="18" t="s">
        <v>43</v>
      </c>
      <c r="B143" s="18" t="s">
        <v>91</v>
      </c>
    </row>
    <row r="144" spans="1:2" ht="43.2" x14ac:dyDescent="0.3">
      <c r="A144" s="18" t="s">
        <v>44</v>
      </c>
      <c r="B144" s="18" t="s">
        <v>76</v>
      </c>
    </row>
    <row r="145" spans="1:2" ht="43.2" x14ac:dyDescent="0.3">
      <c r="A145" s="18" t="s">
        <v>45</v>
      </c>
      <c r="B145" s="18" t="s">
        <v>110</v>
      </c>
    </row>
    <row r="146" spans="1:2" ht="28.8" x14ac:dyDescent="0.3">
      <c r="A146" s="18" t="s">
        <v>9</v>
      </c>
      <c r="B146" s="18" t="s">
        <v>17</v>
      </c>
    </row>
    <row r="147" spans="1:2" ht="28.8" x14ac:dyDescent="0.3">
      <c r="A147" s="18" t="s">
        <v>19</v>
      </c>
      <c r="B147" s="18" t="s">
        <v>22</v>
      </c>
    </row>
    <row r="148" spans="1:2" ht="28.8" x14ac:dyDescent="0.3">
      <c r="A148" s="18" t="s">
        <v>24</v>
      </c>
      <c r="B148" s="18" t="s">
        <v>56</v>
      </c>
    </row>
    <row r="149" spans="1:2" x14ac:dyDescent="0.3">
      <c r="A149" s="18" t="s">
        <v>25</v>
      </c>
      <c r="B149" s="18" t="s">
        <v>57</v>
      </c>
    </row>
    <row r="150" spans="1:2" ht="28.8" x14ac:dyDescent="0.3">
      <c r="A150" s="18" t="s">
        <v>26</v>
      </c>
      <c r="B150" s="18" t="s">
        <v>71</v>
      </c>
    </row>
    <row r="151" spans="1:2" ht="28.8" x14ac:dyDescent="0.3">
      <c r="A151" s="18" t="s">
        <v>27</v>
      </c>
      <c r="B151" s="18" t="s">
        <v>82</v>
      </c>
    </row>
    <row r="152" spans="1:2" ht="28.8" x14ac:dyDescent="0.3">
      <c r="A152" s="18" t="s">
        <v>28</v>
      </c>
      <c r="B152" s="18" t="s">
        <v>83</v>
      </c>
    </row>
    <row r="153" spans="1:2" ht="43.2" x14ac:dyDescent="0.3">
      <c r="A153" s="18" t="s">
        <v>33</v>
      </c>
      <c r="B153" s="18" t="s">
        <v>222</v>
      </c>
    </row>
    <row r="154" spans="1:2" ht="28.8" x14ac:dyDescent="0.3">
      <c r="A154" s="18" t="s">
        <v>34</v>
      </c>
      <c r="B154" s="18" t="s">
        <v>227</v>
      </c>
    </row>
    <row r="155" spans="1:2" ht="57.6" x14ac:dyDescent="0.3">
      <c r="A155" s="18" t="s">
        <v>35</v>
      </c>
      <c r="B155" s="18" t="s">
        <v>236</v>
      </c>
    </row>
    <row r="156" spans="1:2" ht="43.2" x14ac:dyDescent="0.3">
      <c r="A156" s="18" t="s">
        <v>36</v>
      </c>
      <c r="B156" s="18" t="s">
        <v>86</v>
      </c>
    </row>
    <row r="157" spans="1:2" ht="43.2" x14ac:dyDescent="0.3">
      <c r="A157" s="18" t="s">
        <v>37</v>
      </c>
      <c r="B157" s="18" t="s">
        <v>252</v>
      </c>
    </row>
    <row r="158" spans="1:2" ht="72" x14ac:dyDescent="0.3">
      <c r="A158" s="18" t="s">
        <v>42</v>
      </c>
      <c r="B158" s="18" t="s">
        <v>101</v>
      </c>
    </row>
    <row r="159" spans="1:2" ht="43.2" x14ac:dyDescent="0.3">
      <c r="A159" s="18" t="s">
        <v>43</v>
      </c>
      <c r="B159" s="18" t="s">
        <v>64</v>
      </c>
    </row>
    <row r="160" spans="1:2" ht="43.2" x14ac:dyDescent="0.3">
      <c r="A160" s="18" t="s">
        <v>44</v>
      </c>
      <c r="B160" s="18" t="s">
        <v>58</v>
      </c>
    </row>
    <row r="161" spans="1:2" ht="57.6" x14ac:dyDescent="0.3">
      <c r="A161" s="18" t="s">
        <v>45</v>
      </c>
      <c r="B161" s="18" t="s">
        <v>112</v>
      </c>
    </row>
    <row r="162" spans="1:2" ht="28.8" x14ac:dyDescent="0.3">
      <c r="A162" s="18" t="s">
        <v>9</v>
      </c>
      <c r="B162" s="18" t="s">
        <v>17</v>
      </c>
    </row>
    <row r="163" spans="1:2" ht="28.8" x14ac:dyDescent="0.3">
      <c r="A163" s="18" t="s">
        <v>19</v>
      </c>
      <c r="B163" s="18" t="s">
        <v>21</v>
      </c>
    </row>
    <row r="164" spans="1:2" ht="28.8" x14ac:dyDescent="0.3">
      <c r="A164" s="18" t="s">
        <v>24</v>
      </c>
      <c r="B164" s="18" t="s">
        <v>56</v>
      </c>
    </row>
    <row r="165" spans="1:2" x14ac:dyDescent="0.3">
      <c r="A165" s="18" t="s">
        <v>25</v>
      </c>
      <c r="B165" s="18" t="s">
        <v>70</v>
      </c>
    </row>
    <row r="166" spans="1:2" ht="28.8" x14ac:dyDescent="0.3">
      <c r="A166" s="18" t="s">
        <v>26</v>
      </c>
      <c r="B166" s="18" t="s">
        <v>71</v>
      </c>
    </row>
    <row r="167" spans="1:2" ht="28.8" x14ac:dyDescent="0.3">
      <c r="A167" s="18" t="s">
        <v>27</v>
      </c>
      <c r="B167" s="18" t="s">
        <v>82</v>
      </c>
    </row>
    <row r="168" spans="1:2" ht="28.8" x14ac:dyDescent="0.3">
      <c r="A168" s="18" t="s">
        <v>28</v>
      </c>
      <c r="B168" s="18" t="s">
        <v>83</v>
      </c>
    </row>
    <row r="169" spans="1:2" ht="43.2" x14ac:dyDescent="0.3">
      <c r="A169" s="18" t="s">
        <v>33</v>
      </c>
      <c r="B169" s="18" t="s">
        <v>223</v>
      </c>
    </row>
    <row r="170" spans="1:2" ht="28.8" x14ac:dyDescent="0.3">
      <c r="A170" s="18" t="s">
        <v>34</v>
      </c>
      <c r="B170" s="18" t="s">
        <v>227</v>
      </c>
    </row>
    <row r="171" spans="1:2" ht="57.6" x14ac:dyDescent="0.3">
      <c r="A171" s="18" t="s">
        <v>35</v>
      </c>
      <c r="B171" s="18" t="s">
        <v>113</v>
      </c>
    </row>
    <row r="172" spans="1:2" ht="43.2" x14ac:dyDescent="0.3">
      <c r="A172" s="18" t="s">
        <v>36</v>
      </c>
      <c r="B172" s="18" t="s">
        <v>62</v>
      </c>
    </row>
    <row r="173" spans="1:2" ht="43.2" x14ac:dyDescent="0.3">
      <c r="A173" s="18" t="s">
        <v>37</v>
      </c>
      <c r="B173" s="18" t="s">
        <v>252</v>
      </c>
    </row>
    <row r="174" spans="1:2" ht="43.2" x14ac:dyDescent="0.3">
      <c r="A174" s="18" t="s">
        <v>42</v>
      </c>
      <c r="B174" s="18" t="s">
        <v>114</v>
      </c>
    </row>
    <row r="175" spans="1:2" ht="43.2" x14ac:dyDescent="0.3">
      <c r="A175" s="18" t="s">
        <v>43</v>
      </c>
      <c r="B175" s="18" t="s">
        <v>96</v>
      </c>
    </row>
    <row r="176" spans="1:2" ht="43.2" x14ac:dyDescent="0.3">
      <c r="A176" s="18" t="s">
        <v>44</v>
      </c>
      <c r="B176" s="18" t="s">
        <v>76</v>
      </c>
    </row>
    <row r="177" spans="1:2" ht="43.2" x14ac:dyDescent="0.3">
      <c r="A177" s="18" t="s">
        <v>45</v>
      </c>
      <c r="B177" s="18" t="s">
        <v>115</v>
      </c>
    </row>
    <row r="178" spans="1:2" ht="28.8" x14ac:dyDescent="0.3">
      <c r="A178" s="18" t="s">
        <v>9</v>
      </c>
      <c r="B178" s="18" t="s">
        <v>128</v>
      </c>
    </row>
    <row r="179" spans="1:2" ht="28.8" x14ac:dyDescent="0.3">
      <c r="A179" s="18" t="s">
        <v>19</v>
      </c>
      <c r="B179" s="18" t="s">
        <v>21</v>
      </c>
    </row>
    <row r="180" spans="1:2" ht="28.8" x14ac:dyDescent="0.3">
      <c r="A180" s="18" t="s">
        <v>24</v>
      </c>
      <c r="B180" s="18" t="s">
        <v>56</v>
      </c>
    </row>
    <row r="181" spans="1:2" x14ac:dyDescent="0.3">
      <c r="A181" s="18" t="s">
        <v>25</v>
      </c>
      <c r="B181" s="18" t="s">
        <v>57</v>
      </c>
    </row>
    <row r="182" spans="1:2" ht="28.8" x14ac:dyDescent="0.3">
      <c r="A182" s="18" t="s">
        <v>26</v>
      </c>
      <c r="B182" s="18" t="s">
        <v>58</v>
      </c>
    </row>
    <row r="183" spans="1:2" ht="28.8" x14ac:dyDescent="0.3">
      <c r="A183" s="18" t="s">
        <v>27</v>
      </c>
      <c r="B183" s="18" t="s">
        <v>82</v>
      </c>
    </row>
    <row r="184" spans="1:2" ht="28.8" x14ac:dyDescent="0.3">
      <c r="A184" s="18" t="s">
        <v>28</v>
      </c>
      <c r="B184" s="18" t="s">
        <v>83</v>
      </c>
    </row>
    <row r="185" spans="1:2" ht="43.2" x14ac:dyDescent="0.3">
      <c r="A185" s="18" t="s">
        <v>33</v>
      </c>
      <c r="B185" s="18" t="s">
        <v>224</v>
      </c>
    </row>
    <row r="186" spans="1:2" ht="28.8" x14ac:dyDescent="0.3">
      <c r="A186" s="18" t="s">
        <v>34</v>
      </c>
      <c r="B186" s="18" t="s">
        <v>73</v>
      </c>
    </row>
    <row r="187" spans="1:2" ht="43.2" x14ac:dyDescent="0.3">
      <c r="A187" s="18" t="s">
        <v>35</v>
      </c>
      <c r="B187" s="18" t="s">
        <v>116</v>
      </c>
    </row>
    <row r="188" spans="1:2" ht="43.2" x14ac:dyDescent="0.3">
      <c r="A188" s="18" t="s">
        <v>36</v>
      </c>
      <c r="B188" s="18" t="s">
        <v>86</v>
      </c>
    </row>
    <row r="189" spans="1:2" ht="43.2" x14ac:dyDescent="0.3">
      <c r="A189" s="18" t="s">
        <v>37</v>
      </c>
      <c r="B189" s="18" t="s">
        <v>252</v>
      </c>
    </row>
    <row r="190" spans="1:2" ht="43.2" x14ac:dyDescent="0.3">
      <c r="A190" s="18" t="s">
        <v>42</v>
      </c>
      <c r="B190" s="18" t="s">
        <v>117</v>
      </c>
    </row>
    <row r="191" spans="1:2" ht="43.2" x14ac:dyDescent="0.3">
      <c r="A191" s="18" t="s">
        <v>43</v>
      </c>
      <c r="B191" s="18" t="s">
        <v>96</v>
      </c>
    </row>
    <row r="192" spans="1:2" ht="43.2" x14ac:dyDescent="0.3">
      <c r="A192" s="18" t="s">
        <v>44</v>
      </c>
      <c r="B192" s="18" t="s">
        <v>76</v>
      </c>
    </row>
    <row r="193" spans="1:2" ht="43.2" x14ac:dyDescent="0.3">
      <c r="A193" s="18" t="s">
        <v>45</v>
      </c>
      <c r="B193" s="18" t="s">
        <v>118</v>
      </c>
    </row>
    <row r="194" spans="1:2" ht="28.8" x14ac:dyDescent="0.3">
      <c r="A194" s="18" t="s">
        <v>9</v>
      </c>
      <c r="B194" s="18" t="s">
        <v>17</v>
      </c>
    </row>
    <row r="195" spans="1:2" ht="28.8" x14ac:dyDescent="0.3">
      <c r="A195" s="18" t="s">
        <v>19</v>
      </c>
      <c r="B195" s="18" t="s">
        <v>21</v>
      </c>
    </row>
    <row r="196" spans="1:2" ht="28.8" x14ac:dyDescent="0.3">
      <c r="A196" s="18" t="s">
        <v>24</v>
      </c>
      <c r="B196" s="18" t="s">
        <v>56</v>
      </c>
    </row>
    <row r="197" spans="1:2" x14ac:dyDescent="0.3">
      <c r="A197" s="18" t="s">
        <v>25</v>
      </c>
      <c r="B197" s="18" t="s">
        <v>75</v>
      </c>
    </row>
    <row r="198" spans="1:2" ht="28.8" x14ac:dyDescent="0.3">
      <c r="A198" s="18" t="s">
        <v>26</v>
      </c>
      <c r="B198" s="18" t="s">
        <v>71</v>
      </c>
    </row>
    <row r="199" spans="1:2" ht="28.8" x14ac:dyDescent="0.3">
      <c r="A199" s="18" t="s">
        <v>27</v>
      </c>
      <c r="B199" s="18" t="s">
        <v>175</v>
      </c>
    </row>
    <row r="200" spans="1:2" ht="28.8" x14ac:dyDescent="0.3">
      <c r="A200" s="18" t="s">
        <v>28</v>
      </c>
      <c r="B200" s="18" t="s">
        <v>67</v>
      </c>
    </row>
    <row r="201" spans="1:2" ht="43.2" x14ac:dyDescent="0.3">
      <c r="A201" s="18" t="s">
        <v>33</v>
      </c>
      <c r="B201" s="18" t="s">
        <v>225</v>
      </c>
    </row>
    <row r="202" spans="1:2" ht="28.8" x14ac:dyDescent="0.3">
      <c r="A202" s="18" t="s">
        <v>34</v>
      </c>
      <c r="B202" s="18" t="s">
        <v>89</v>
      </c>
    </row>
    <row r="203" spans="1:2" ht="72" x14ac:dyDescent="0.3">
      <c r="A203" s="18" t="s">
        <v>35</v>
      </c>
      <c r="B203" s="18" t="s">
        <v>237</v>
      </c>
    </row>
    <row r="204" spans="1:2" ht="43.2" x14ac:dyDescent="0.3">
      <c r="A204" s="18" t="s">
        <v>36</v>
      </c>
      <c r="B204" s="18" t="s">
        <v>62</v>
      </c>
    </row>
    <row r="205" spans="1:2" ht="43.2" x14ac:dyDescent="0.3">
      <c r="A205" s="18" t="s">
        <v>37</v>
      </c>
      <c r="B205" s="18" t="s">
        <v>252</v>
      </c>
    </row>
    <row r="206" spans="1:2" ht="43.2" x14ac:dyDescent="0.3">
      <c r="A206" s="18" t="s">
        <v>42</v>
      </c>
      <c r="B206" s="18" t="s">
        <v>119</v>
      </c>
    </row>
    <row r="207" spans="1:2" ht="43.2" x14ac:dyDescent="0.3">
      <c r="A207" s="18" t="s">
        <v>43</v>
      </c>
      <c r="B207" s="18" t="s">
        <v>91</v>
      </c>
    </row>
    <row r="208" spans="1:2" ht="43.2" x14ac:dyDescent="0.3">
      <c r="A208" s="18" t="s">
        <v>44</v>
      </c>
      <c r="B208" s="18" t="s">
        <v>58</v>
      </c>
    </row>
    <row r="209" spans="1:2" ht="43.2" x14ac:dyDescent="0.3">
      <c r="A209" s="18" t="s">
        <v>45</v>
      </c>
      <c r="B209" s="18" t="s">
        <v>118</v>
      </c>
    </row>
    <row r="210" spans="1:2" ht="28.8" x14ac:dyDescent="0.3">
      <c r="A210" s="18" t="s">
        <v>9</v>
      </c>
      <c r="B210" s="18" t="s">
        <v>17</v>
      </c>
    </row>
    <row r="211" spans="1:2" ht="28.8" x14ac:dyDescent="0.3">
      <c r="A211" s="18" t="s">
        <v>19</v>
      </c>
      <c r="B211" s="18" t="s">
        <v>23</v>
      </c>
    </row>
    <row r="212" spans="1:2" ht="28.8" x14ac:dyDescent="0.3">
      <c r="A212" s="18" t="s">
        <v>24</v>
      </c>
      <c r="B212" s="18" t="s">
        <v>56</v>
      </c>
    </row>
    <row r="213" spans="1:2" x14ac:dyDescent="0.3">
      <c r="A213" s="18" t="s">
        <v>25</v>
      </c>
      <c r="B213" s="18" t="s">
        <v>75</v>
      </c>
    </row>
    <row r="214" spans="1:2" ht="28.8" x14ac:dyDescent="0.3">
      <c r="A214" s="18" t="s">
        <v>26</v>
      </c>
      <c r="B214" s="18" t="s">
        <v>58</v>
      </c>
    </row>
    <row r="215" spans="1:2" ht="28.8" x14ac:dyDescent="0.3">
      <c r="A215" s="18" t="s">
        <v>27</v>
      </c>
      <c r="B215" s="18" t="s">
        <v>175</v>
      </c>
    </row>
    <row r="216" spans="1:2" ht="28.8" x14ac:dyDescent="0.3">
      <c r="A216" s="18" t="s">
        <v>28</v>
      </c>
      <c r="B216" s="18" t="s">
        <v>83</v>
      </c>
    </row>
    <row r="217" spans="1:2" ht="43.2" x14ac:dyDescent="0.3">
      <c r="A217" s="18" t="s">
        <v>33</v>
      </c>
      <c r="B217" s="18" t="s">
        <v>226</v>
      </c>
    </row>
    <row r="218" spans="1:2" ht="28.8" x14ac:dyDescent="0.3">
      <c r="A218" s="18" t="s">
        <v>34</v>
      </c>
      <c r="B218" s="18" t="s">
        <v>89</v>
      </c>
    </row>
    <row r="219" spans="1:2" ht="43.2" x14ac:dyDescent="0.3">
      <c r="A219" s="18" t="s">
        <v>35</v>
      </c>
      <c r="B219" s="18" t="s">
        <v>121</v>
      </c>
    </row>
    <row r="220" spans="1:2" ht="43.2" x14ac:dyDescent="0.3">
      <c r="A220" s="18" t="s">
        <v>36</v>
      </c>
      <c r="B220" s="18" t="s">
        <v>68</v>
      </c>
    </row>
    <row r="221" spans="1:2" ht="43.2" x14ac:dyDescent="0.3">
      <c r="A221" s="18" t="s">
        <v>37</v>
      </c>
      <c r="B221" s="18" t="s">
        <v>252</v>
      </c>
    </row>
    <row r="222" spans="1:2" ht="43.2" x14ac:dyDescent="0.3">
      <c r="A222" s="18" t="s">
        <v>42</v>
      </c>
      <c r="B222" s="18" t="s">
        <v>122</v>
      </c>
    </row>
    <row r="223" spans="1:2" ht="43.2" x14ac:dyDescent="0.3">
      <c r="A223" s="18" t="s">
        <v>43</v>
      </c>
      <c r="B223" s="18" t="s">
        <v>64</v>
      </c>
    </row>
    <row r="224" spans="1:2" ht="43.2" x14ac:dyDescent="0.3">
      <c r="A224" s="18" t="s">
        <v>44</v>
      </c>
      <c r="B224" s="18" t="s">
        <v>76</v>
      </c>
    </row>
    <row r="225" spans="1:2" ht="43.2" x14ac:dyDescent="0.3">
      <c r="A225" s="18" t="s">
        <v>45</v>
      </c>
      <c r="B225" s="18" t="s">
        <v>123</v>
      </c>
    </row>
    <row r="226" spans="1:2" ht="28.8" x14ac:dyDescent="0.3">
      <c r="A226" s="18" t="s">
        <v>9</v>
      </c>
      <c r="B226" s="18" t="s">
        <v>124</v>
      </c>
    </row>
    <row r="227" spans="1:2" ht="28.8" x14ac:dyDescent="0.3">
      <c r="A227" s="18" t="s">
        <v>19</v>
      </c>
      <c r="B227" s="18" t="s">
        <v>21</v>
      </c>
    </row>
    <row r="228" spans="1:2" ht="28.8" x14ac:dyDescent="0.3">
      <c r="A228" s="18" t="s">
        <v>24</v>
      </c>
      <c r="B228" s="18" t="s">
        <v>56</v>
      </c>
    </row>
    <row r="229" spans="1:2" x14ac:dyDescent="0.3">
      <c r="A229" s="18" t="s">
        <v>25</v>
      </c>
      <c r="B229" s="18" t="s">
        <v>57</v>
      </c>
    </row>
    <row r="230" spans="1:2" ht="28.8" x14ac:dyDescent="0.3">
      <c r="A230" s="18" t="s">
        <v>26</v>
      </c>
      <c r="B230" s="18" t="s">
        <v>106</v>
      </c>
    </row>
    <row r="231" spans="1:2" ht="28.8" x14ac:dyDescent="0.3">
      <c r="A231" s="18" t="s">
        <v>27</v>
      </c>
      <c r="B231" s="18" t="s">
        <v>82</v>
      </c>
    </row>
    <row r="232" spans="1:2" ht="28.8" x14ac:dyDescent="0.3">
      <c r="A232" s="18" t="s">
        <v>28</v>
      </c>
      <c r="B232" s="18" t="s">
        <v>72</v>
      </c>
    </row>
    <row r="233" spans="1:2" ht="43.2" x14ac:dyDescent="0.3">
      <c r="A233" s="18" t="s">
        <v>33</v>
      </c>
      <c r="B233" s="18" t="s">
        <v>224</v>
      </c>
    </row>
    <row r="234" spans="1:2" ht="28.8" x14ac:dyDescent="0.3">
      <c r="A234" s="18" t="s">
        <v>34</v>
      </c>
      <c r="B234" s="18" t="s">
        <v>227</v>
      </c>
    </row>
    <row r="235" spans="1:2" ht="43.2" x14ac:dyDescent="0.3">
      <c r="A235" s="18" t="s">
        <v>35</v>
      </c>
      <c r="B235" s="18" t="s">
        <v>238</v>
      </c>
    </row>
    <row r="236" spans="1:2" ht="43.2" x14ac:dyDescent="0.3">
      <c r="A236" s="18" t="s">
        <v>36</v>
      </c>
      <c r="B236" s="18" t="s">
        <v>68</v>
      </c>
    </row>
    <row r="237" spans="1:2" ht="43.2" x14ac:dyDescent="0.3">
      <c r="A237" s="18" t="s">
        <v>37</v>
      </c>
      <c r="B237" s="18" t="s">
        <v>125</v>
      </c>
    </row>
    <row r="238" spans="1:2" ht="43.2" x14ac:dyDescent="0.3">
      <c r="A238" s="18" t="s">
        <v>42</v>
      </c>
      <c r="B238" s="18" t="s">
        <v>90</v>
      </c>
    </row>
    <row r="239" spans="1:2" ht="43.2" x14ac:dyDescent="0.3">
      <c r="A239" s="18" t="s">
        <v>43</v>
      </c>
      <c r="B239" s="18" t="s">
        <v>91</v>
      </c>
    </row>
    <row r="240" spans="1:2" ht="43.2" x14ac:dyDescent="0.3">
      <c r="A240" s="18" t="s">
        <v>44</v>
      </c>
      <c r="B240" s="18" t="s">
        <v>58</v>
      </c>
    </row>
    <row r="241" spans="1:2" ht="43.2" x14ac:dyDescent="0.3">
      <c r="A241" s="18" t="s">
        <v>45</v>
      </c>
      <c r="B241" s="18" t="s">
        <v>118</v>
      </c>
    </row>
    <row r="242" spans="1:2" ht="28.8" x14ac:dyDescent="0.3">
      <c r="A242" s="18" t="s">
        <v>9</v>
      </c>
      <c r="B242" s="18" t="s">
        <v>126</v>
      </c>
    </row>
    <row r="243" spans="1:2" ht="28.8" x14ac:dyDescent="0.3">
      <c r="A243" s="18" t="s">
        <v>19</v>
      </c>
      <c r="B243" s="18" t="s">
        <v>20</v>
      </c>
    </row>
    <row r="244" spans="1:2" ht="28.8" x14ac:dyDescent="0.3">
      <c r="A244" s="18" t="s">
        <v>24</v>
      </c>
      <c r="B244" s="18" t="s">
        <v>56</v>
      </c>
    </row>
    <row r="245" spans="1:2" x14ac:dyDescent="0.3">
      <c r="A245" s="18" t="s">
        <v>25</v>
      </c>
      <c r="B245" s="18" t="s">
        <v>70</v>
      </c>
    </row>
    <row r="246" spans="1:2" ht="28.8" x14ac:dyDescent="0.3">
      <c r="A246" s="18" t="s">
        <v>26</v>
      </c>
      <c r="B246" s="18" t="s">
        <v>71</v>
      </c>
    </row>
    <row r="247" spans="1:2" ht="28.8" x14ac:dyDescent="0.3">
      <c r="A247" s="18" t="s">
        <v>27</v>
      </c>
      <c r="B247" s="18" t="s">
        <v>82</v>
      </c>
    </row>
    <row r="248" spans="1:2" ht="28.8" x14ac:dyDescent="0.3">
      <c r="A248" s="18" t="s">
        <v>28</v>
      </c>
      <c r="B248" s="18" t="s">
        <v>60</v>
      </c>
    </row>
    <row r="249" spans="1:2" ht="43.2" x14ac:dyDescent="0.3">
      <c r="A249" s="18" t="s">
        <v>33</v>
      </c>
      <c r="B249" s="18" t="s">
        <v>222</v>
      </c>
    </row>
    <row r="250" spans="1:2" ht="28.8" x14ac:dyDescent="0.3">
      <c r="A250" s="18" t="s">
        <v>34</v>
      </c>
      <c r="B250" s="18" t="s">
        <v>227</v>
      </c>
    </row>
    <row r="251" spans="1:2" ht="86.4" x14ac:dyDescent="0.3">
      <c r="A251" s="18" t="s">
        <v>35</v>
      </c>
      <c r="B251" s="18" t="s">
        <v>239</v>
      </c>
    </row>
    <row r="252" spans="1:2" ht="43.2" x14ac:dyDescent="0.3">
      <c r="A252" s="18" t="s">
        <v>36</v>
      </c>
      <c r="B252" s="18" t="s">
        <v>99</v>
      </c>
    </row>
    <row r="253" spans="1:2" ht="43.2" x14ac:dyDescent="0.3">
      <c r="A253" s="18" t="s">
        <v>37</v>
      </c>
      <c r="B253" s="18" t="s">
        <v>252</v>
      </c>
    </row>
    <row r="254" spans="1:2" ht="43.2" x14ac:dyDescent="0.3">
      <c r="A254" s="18" t="s">
        <v>42</v>
      </c>
      <c r="B254" s="18" t="s">
        <v>127</v>
      </c>
    </row>
    <row r="255" spans="1:2" ht="43.2" x14ac:dyDescent="0.3">
      <c r="A255" s="18" t="s">
        <v>43</v>
      </c>
      <c r="B255" s="18" t="s">
        <v>64</v>
      </c>
    </row>
    <row r="256" spans="1:2" ht="43.2" x14ac:dyDescent="0.3">
      <c r="A256" s="18" t="s">
        <v>44</v>
      </c>
      <c r="B256" s="18" t="s">
        <v>65</v>
      </c>
    </row>
    <row r="257" spans="1:2" ht="57.6" x14ac:dyDescent="0.3">
      <c r="A257" s="18" t="s">
        <v>45</v>
      </c>
      <c r="B257" s="18" t="s">
        <v>112</v>
      </c>
    </row>
    <row r="258" spans="1:2" ht="28.8" x14ac:dyDescent="0.3">
      <c r="A258" s="18" t="s">
        <v>9</v>
      </c>
      <c r="B258" s="18" t="s">
        <v>128</v>
      </c>
    </row>
    <row r="259" spans="1:2" ht="28.8" x14ac:dyDescent="0.3">
      <c r="A259" s="18" t="s">
        <v>19</v>
      </c>
      <c r="B259" s="18" t="s">
        <v>21</v>
      </c>
    </row>
    <row r="260" spans="1:2" ht="28.8" x14ac:dyDescent="0.3">
      <c r="A260" s="18" t="s">
        <v>24</v>
      </c>
      <c r="B260" s="18" t="s">
        <v>56</v>
      </c>
    </row>
    <row r="261" spans="1:2" x14ac:dyDescent="0.3">
      <c r="A261" s="18" t="s">
        <v>25</v>
      </c>
      <c r="B261" s="18" t="s">
        <v>75</v>
      </c>
    </row>
    <row r="262" spans="1:2" ht="28.8" x14ac:dyDescent="0.3">
      <c r="A262" s="18" t="s">
        <v>26</v>
      </c>
      <c r="B262" s="18" t="s">
        <v>71</v>
      </c>
    </row>
    <row r="263" spans="1:2" ht="28.8" x14ac:dyDescent="0.3">
      <c r="A263" s="18" t="s">
        <v>27</v>
      </c>
      <c r="B263" s="18" t="s">
        <v>82</v>
      </c>
    </row>
    <row r="264" spans="1:2" ht="28.8" x14ac:dyDescent="0.3">
      <c r="A264" s="18" t="s">
        <v>28</v>
      </c>
      <c r="B264" s="18" t="s">
        <v>60</v>
      </c>
    </row>
    <row r="265" spans="1:2" ht="43.2" x14ac:dyDescent="0.3">
      <c r="A265" s="18" t="s">
        <v>33</v>
      </c>
      <c r="B265" s="18" t="s">
        <v>226</v>
      </c>
    </row>
    <row r="266" spans="1:2" ht="28.8" x14ac:dyDescent="0.3">
      <c r="A266" s="18" t="s">
        <v>34</v>
      </c>
      <c r="B266" s="18" t="s">
        <v>73</v>
      </c>
    </row>
    <row r="267" spans="1:2" ht="43.2" x14ac:dyDescent="0.3">
      <c r="A267" s="18" t="s">
        <v>35</v>
      </c>
      <c r="B267" s="18" t="s">
        <v>129</v>
      </c>
    </row>
    <row r="268" spans="1:2" ht="43.2" x14ac:dyDescent="0.3">
      <c r="A268" s="18" t="s">
        <v>36</v>
      </c>
      <c r="B268" s="18" t="s">
        <v>68</v>
      </c>
    </row>
    <row r="269" spans="1:2" ht="43.2" x14ac:dyDescent="0.3">
      <c r="A269" s="18" t="s">
        <v>37</v>
      </c>
      <c r="B269" s="18" t="s">
        <v>252</v>
      </c>
    </row>
    <row r="270" spans="1:2" ht="43.2" x14ac:dyDescent="0.3">
      <c r="A270" s="18" t="s">
        <v>42</v>
      </c>
      <c r="B270" s="18" t="s">
        <v>130</v>
      </c>
    </row>
    <row r="271" spans="1:2" ht="43.2" x14ac:dyDescent="0.3">
      <c r="A271" s="18" t="s">
        <v>43</v>
      </c>
      <c r="B271" s="18" t="s">
        <v>91</v>
      </c>
    </row>
    <row r="272" spans="1:2" ht="43.2" x14ac:dyDescent="0.3">
      <c r="A272" s="18" t="s">
        <v>44</v>
      </c>
      <c r="B272" s="18" t="s">
        <v>111</v>
      </c>
    </row>
    <row r="273" spans="1:2" ht="43.2" x14ac:dyDescent="0.3">
      <c r="A273" s="18" t="s">
        <v>45</v>
      </c>
      <c r="B273" s="18" t="s">
        <v>95</v>
      </c>
    </row>
    <row r="274" spans="1:2" ht="28.8" x14ac:dyDescent="0.3">
      <c r="A274" s="18" t="s">
        <v>9</v>
      </c>
      <c r="B274" s="18" t="s">
        <v>131</v>
      </c>
    </row>
    <row r="275" spans="1:2" ht="28.8" x14ac:dyDescent="0.3">
      <c r="A275" s="18" t="s">
        <v>19</v>
      </c>
      <c r="B275" s="18" t="s">
        <v>21</v>
      </c>
    </row>
    <row r="276" spans="1:2" ht="28.8" x14ac:dyDescent="0.3">
      <c r="A276" s="18" t="s">
        <v>24</v>
      </c>
      <c r="B276" s="18" t="s">
        <v>56</v>
      </c>
    </row>
    <row r="277" spans="1:2" x14ac:dyDescent="0.3">
      <c r="A277" s="18" t="s">
        <v>25</v>
      </c>
      <c r="B277" s="18" t="s">
        <v>57</v>
      </c>
    </row>
    <row r="278" spans="1:2" ht="28.8" x14ac:dyDescent="0.3">
      <c r="A278" s="18" t="s">
        <v>26</v>
      </c>
      <c r="B278" s="18" t="s">
        <v>71</v>
      </c>
    </row>
    <row r="279" spans="1:2" ht="28.8" x14ac:dyDescent="0.3">
      <c r="A279" s="18" t="s">
        <v>27</v>
      </c>
      <c r="B279" s="18" t="s">
        <v>82</v>
      </c>
    </row>
    <row r="280" spans="1:2" ht="28.8" x14ac:dyDescent="0.3">
      <c r="A280" s="18" t="s">
        <v>28</v>
      </c>
      <c r="B280" s="18" t="s">
        <v>72</v>
      </c>
    </row>
    <row r="281" spans="1:2" ht="43.2" x14ac:dyDescent="0.3">
      <c r="A281" s="18" t="s">
        <v>33</v>
      </c>
      <c r="B281" s="18" t="s">
        <v>225</v>
      </c>
    </row>
    <row r="282" spans="1:2" ht="28.8" x14ac:dyDescent="0.3">
      <c r="A282" s="18" t="s">
        <v>34</v>
      </c>
      <c r="B282" s="18" t="s">
        <v>227</v>
      </c>
    </row>
    <row r="283" spans="1:2" ht="43.2" x14ac:dyDescent="0.3">
      <c r="A283" s="18" t="s">
        <v>35</v>
      </c>
      <c r="B283" s="18" t="s">
        <v>132</v>
      </c>
    </row>
    <row r="284" spans="1:2" ht="43.2" x14ac:dyDescent="0.3">
      <c r="A284" s="18" t="s">
        <v>36</v>
      </c>
      <c r="B284" s="18" t="s">
        <v>99</v>
      </c>
    </row>
    <row r="285" spans="1:2" ht="43.2" x14ac:dyDescent="0.3">
      <c r="A285" s="18" t="s">
        <v>37</v>
      </c>
      <c r="B285" s="18" t="s">
        <v>246</v>
      </c>
    </row>
    <row r="286" spans="1:2" ht="43.2" x14ac:dyDescent="0.3">
      <c r="A286" s="18" t="s">
        <v>42</v>
      </c>
      <c r="B286" s="18" t="s">
        <v>92</v>
      </c>
    </row>
    <row r="287" spans="1:2" ht="43.2" x14ac:dyDescent="0.3">
      <c r="A287" s="18" t="s">
        <v>43</v>
      </c>
      <c r="B287" s="18" t="s">
        <v>64</v>
      </c>
    </row>
    <row r="288" spans="1:2" ht="43.2" x14ac:dyDescent="0.3">
      <c r="A288" s="18" t="s">
        <v>44</v>
      </c>
      <c r="B288" s="18" t="s">
        <v>111</v>
      </c>
    </row>
    <row r="289" spans="1:2" ht="43.2" x14ac:dyDescent="0.3">
      <c r="A289" s="18" t="s">
        <v>45</v>
      </c>
      <c r="B289" s="18" t="s">
        <v>133</v>
      </c>
    </row>
    <row r="290" spans="1:2" ht="28.8" x14ac:dyDescent="0.3">
      <c r="A290" s="18" t="s">
        <v>9</v>
      </c>
      <c r="B290" s="18" t="s">
        <v>14</v>
      </c>
    </row>
    <row r="291" spans="1:2" ht="28.8" x14ac:dyDescent="0.3">
      <c r="A291" s="18" t="s">
        <v>19</v>
      </c>
      <c r="B291" s="18" t="s">
        <v>21</v>
      </c>
    </row>
    <row r="292" spans="1:2" ht="28.8" x14ac:dyDescent="0.3">
      <c r="A292" s="18" t="s">
        <v>24</v>
      </c>
      <c r="B292" s="18" t="s">
        <v>56</v>
      </c>
    </row>
    <row r="293" spans="1:2" x14ac:dyDescent="0.3">
      <c r="A293" s="18" t="s">
        <v>25</v>
      </c>
      <c r="B293" s="18" t="s">
        <v>75</v>
      </c>
    </row>
    <row r="294" spans="1:2" ht="28.8" x14ac:dyDescent="0.3">
      <c r="A294" s="18" t="s">
        <v>26</v>
      </c>
      <c r="B294" s="18" t="s">
        <v>106</v>
      </c>
    </row>
    <row r="295" spans="1:2" ht="28.8" x14ac:dyDescent="0.3">
      <c r="A295" s="18" t="s">
        <v>27</v>
      </c>
      <c r="B295" s="18" t="s">
        <v>82</v>
      </c>
    </row>
    <row r="296" spans="1:2" ht="28.8" x14ac:dyDescent="0.3">
      <c r="A296" s="18" t="s">
        <v>28</v>
      </c>
      <c r="B296" s="18" t="s">
        <v>83</v>
      </c>
    </row>
    <row r="297" spans="1:2" ht="43.2" x14ac:dyDescent="0.3">
      <c r="A297" s="18" t="s">
        <v>33</v>
      </c>
      <c r="B297" s="18" t="s">
        <v>226</v>
      </c>
    </row>
    <row r="298" spans="1:2" ht="28.8" x14ac:dyDescent="0.3">
      <c r="A298" s="18" t="s">
        <v>34</v>
      </c>
      <c r="B298" s="18" t="s">
        <v>227</v>
      </c>
    </row>
    <row r="299" spans="1:2" ht="43.2" x14ac:dyDescent="0.3">
      <c r="A299" s="18" t="s">
        <v>35</v>
      </c>
      <c r="B299" s="18" t="s">
        <v>120</v>
      </c>
    </row>
    <row r="300" spans="1:2" ht="43.2" x14ac:dyDescent="0.3">
      <c r="A300" s="18" t="s">
        <v>36</v>
      </c>
      <c r="B300" s="18" t="s">
        <v>68</v>
      </c>
    </row>
    <row r="301" spans="1:2" ht="43.2" x14ac:dyDescent="0.3">
      <c r="A301" s="18" t="s">
        <v>37</v>
      </c>
      <c r="B301" s="18" t="s">
        <v>252</v>
      </c>
    </row>
    <row r="302" spans="1:2" ht="43.2" x14ac:dyDescent="0.3">
      <c r="A302" s="18" t="s">
        <v>42</v>
      </c>
      <c r="B302" s="18" t="s">
        <v>135</v>
      </c>
    </row>
    <row r="303" spans="1:2" ht="43.2" x14ac:dyDescent="0.3">
      <c r="A303" s="18" t="s">
        <v>43</v>
      </c>
      <c r="B303" s="18" t="s">
        <v>96</v>
      </c>
    </row>
    <row r="304" spans="1:2" ht="43.2" x14ac:dyDescent="0.3">
      <c r="A304" s="18" t="s">
        <v>44</v>
      </c>
      <c r="B304" s="18" t="s">
        <v>58</v>
      </c>
    </row>
    <row r="305" spans="1:2" ht="43.2" x14ac:dyDescent="0.3">
      <c r="A305" s="18" t="s">
        <v>45</v>
      </c>
      <c r="B305" s="18" t="s">
        <v>118</v>
      </c>
    </row>
    <row r="306" spans="1:2" ht="28.8" x14ac:dyDescent="0.3">
      <c r="A306" s="18" t="s">
        <v>9</v>
      </c>
      <c r="B306" s="18" t="s">
        <v>128</v>
      </c>
    </row>
    <row r="307" spans="1:2" ht="28.8" x14ac:dyDescent="0.3">
      <c r="A307" s="18" t="s">
        <v>19</v>
      </c>
      <c r="B307" s="18" t="s">
        <v>21</v>
      </c>
    </row>
    <row r="308" spans="1:2" ht="28.8" x14ac:dyDescent="0.3">
      <c r="A308" s="18" t="s">
        <v>24</v>
      </c>
      <c r="B308" s="18" t="s">
        <v>56</v>
      </c>
    </row>
    <row r="309" spans="1:2" x14ac:dyDescent="0.3">
      <c r="A309" s="18" t="s">
        <v>25</v>
      </c>
      <c r="B309" s="18" t="s">
        <v>75</v>
      </c>
    </row>
    <row r="310" spans="1:2" ht="28.8" x14ac:dyDescent="0.3">
      <c r="A310" s="18" t="s">
        <v>26</v>
      </c>
      <c r="B310" s="18" t="s">
        <v>58</v>
      </c>
    </row>
    <row r="311" spans="1:2" ht="28.8" x14ac:dyDescent="0.3">
      <c r="A311" s="18" t="s">
        <v>27</v>
      </c>
      <c r="B311" s="18" t="s">
        <v>82</v>
      </c>
    </row>
    <row r="312" spans="1:2" ht="28.8" x14ac:dyDescent="0.3">
      <c r="A312" s="18" t="s">
        <v>28</v>
      </c>
      <c r="B312" s="18" t="s">
        <v>83</v>
      </c>
    </row>
    <row r="313" spans="1:2" ht="43.2" x14ac:dyDescent="0.3">
      <c r="A313" s="18" t="s">
        <v>33</v>
      </c>
      <c r="B313" s="18" t="s">
        <v>225</v>
      </c>
    </row>
    <row r="314" spans="1:2" ht="28.8" x14ac:dyDescent="0.3">
      <c r="A314" s="18" t="s">
        <v>34</v>
      </c>
      <c r="B314" s="18" t="s">
        <v>227</v>
      </c>
    </row>
    <row r="315" spans="1:2" ht="43.2" x14ac:dyDescent="0.3">
      <c r="A315" s="18" t="s">
        <v>35</v>
      </c>
      <c r="B315" s="18" t="s">
        <v>120</v>
      </c>
    </row>
    <row r="316" spans="1:2" ht="43.2" x14ac:dyDescent="0.3">
      <c r="A316" s="18" t="s">
        <v>36</v>
      </c>
      <c r="B316" s="18" t="s">
        <v>62</v>
      </c>
    </row>
    <row r="317" spans="1:2" ht="43.2" x14ac:dyDescent="0.3">
      <c r="A317" s="18" t="s">
        <v>37</v>
      </c>
      <c r="B317" s="18" t="s">
        <v>252</v>
      </c>
    </row>
    <row r="318" spans="1:2" ht="43.2" x14ac:dyDescent="0.3">
      <c r="A318" s="18" t="s">
        <v>42</v>
      </c>
      <c r="B318" s="18" t="s">
        <v>136</v>
      </c>
    </row>
    <row r="319" spans="1:2" ht="43.2" x14ac:dyDescent="0.3">
      <c r="A319" s="18" t="s">
        <v>43</v>
      </c>
      <c r="B319" s="18" t="s">
        <v>88</v>
      </c>
    </row>
    <row r="320" spans="1:2" ht="43.2" x14ac:dyDescent="0.3">
      <c r="A320" s="18" t="s">
        <v>44</v>
      </c>
      <c r="B320" s="18" t="s">
        <v>111</v>
      </c>
    </row>
    <row r="321" spans="1:2" ht="43.2" x14ac:dyDescent="0.3">
      <c r="A321" s="18" t="s">
        <v>45</v>
      </c>
      <c r="B321" s="18" t="s">
        <v>134</v>
      </c>
    </row>
    <row r="322" spans="1:2" ht="28.8" x14ac:dyDescent="0.3">
      <c r="A322" s="18" t="s">
        <v>9</v>
      </c>
      <c r="B322" s="18" t="s">
        <v>17</v>
      </c>
    </row>
    <row r="323" spans="1:2" ht="28.8" x14ac:dyDescent="0.3">
      <c r="A323" s="18" t="s">
        <v>19</v>
      </c>
      <c r="B323" s="18" t="s">
        <v>21</v>
      </c>
    </row>
    <row r="324" spans="1:2" ht="28.8" x14ac:dyDescent="0.3">
      <c r="A324" s="18" t="s">
        <v>24</v>
      </c>
      <c r="B324" s="18" t="s">
        <v>56</v>
      </c>
    </row>
    <row r="325" spans="1:2" x14ac:dyDescent="0.3">
      <c r="A325" s="18" t="s">
        <v>25</v>
      </c>
      <c r="B325" s="18" t="s">
        <v>75</v>
      </c>
    </row>
    <row r="326" spans="1:2" ht="28.8" x14ac:dyDescent="0.3">
      <c r="A326" s="18" t="s">
        <v>26</v>
      </c>
      <c r="B326" s="18" t="s">
        <v>71</v>
      </c>
    </row>
    <row r="327" spans="1:2" ht="28.8" x14ac:dyDescent="0.3">
      <c r="A327" s="18" t="s">
        <v>27</v>
      </c>
      <c r="B327" s="18" t="s">
        <v>82</v>
      </c>
    </row>
    <row r="328" spans="1:2" ht="28.8" x14ac:dyDescent="0.3">
      <c r="A328" s="18" t="s">
        <v>28</v>
      </c>
      <c r="B328" s="18" t="s">
        <v>67</v>
      </c>
    </row>
    <row r="329" spans="1:2" ht="43.2" x14ac:dyDescent="0.3">
      <c r="A329" s="18" t="s">
        <v>33</v>
      </c>
      <c r="B329" s="18" t="s">
        <v>226</v>
      </c>
    </row>
    <row r="330" spans="1:2" ht="28.8" x14ac:dyDescent="0.3">
      <c r="A330" s="18" t="s">
        <v>34</v>
      </c>
      <c r="B330" s="18" t="s">
        <v>227</v>
      </c>
    </row>
    <row r="331" spans="1:2" ht="43.2" x14ac:dyDescent="0.3">
      <c r="A331" s="18" t="s">
        <v>35</v>
      </c>
      <c r="B331" s="18" t="s">
        <v>137</v>
      </c>
    </row>
    <row r="332" spans="1:2" ht="43.2" x14ac:dyDescent="0.3">
      <c r="A332" s="18" t="s">
        <v>36</v>
      </c>
      <c r="B332" s="18" t="s">
        <v>86</v>
      </c>
    </row>
    <row r="333" spans="1:2" ht="43.2" x14ac:dyDescent="0.3">
      <c r="A333" s="18" t="s">
        <v>37</v>
      </c>
      <c r="B333" s="18" t="s">
        <v>78</v>
      </c>
    </row>
    <row r="334" spans="1:2" ht="43.2" x14ac:dyDescent="0.3">
      <c r="A334" s="18" t="s">
        <v>42</v>
      </c>
      <c r="B334" s="18" t="s">
        <v>87</v>
      </c>
    </row>
    <row r="335" spans="1:2" ht="43.2" x14ac:dyDescent="0.3">
      <c r="A335" s="18" t="s">
        <v>43</v>
      </c>
      <c r="B335" s="18" t="s">
        <v>88</v>
      </c>
    </row>
    <row r="336" spans="1:2" ht="43.2" x14ac:dyDescent="0.3">
      <c r="A336" s="18" t="s">
        <v>44</v>
      </c>
      <c r="B336" s="18" t="s">
        <v>111</v>
      </c>
    </row>
    <row r="337" spans="1:2" ht="43.2" x14ac:dyDescent="0.3">
      <c r="A337" s="18" t="s">
        <v>45</v>
      </c>
      <c r="B337" s="18" t="s">
        <v>134</v>
      </c>
    </row>
    <row r="338" spans="1:2" ht="28.8" x14ac:dyDescent="0.3">
      <c r="A338" s="18" t="s">
        <v>9</v>
      </c>
      <c r="B338" s="18" t="s">
        <v>17</v>
      </c>
    </row>
    <row r="339" spans="1:2" ht="28.8" x14ac:dyDescent="0.3">
      <c r="A339" s="18" t="s">
        <v>19</v>
      </c>
      <c r="B339" s="18" t="s">
        <v>22</v>
      </c>
    </row>
    <row r="340" spans="1:2" ht="28.8" x14ac:dyDescent="0.3">
      <c r="A340" s="18" t="s">
        <v>24</v>
      </c>
      <c r="B340" s="18" t="s">
        <v>139</v>
      </c>
    </row>
    <row r="341" spans="1:2" x14ac:dyDescent="0.3">
      <c r="A341" s="18" t="s">
        <v>25</v>
      </c>
      <c r="B341" s="18" t="s">
        <v>57</v>
      </c>
    </row>
    <row r="342" spans="1:2" ht="28.8" x14ac:dyDescent="0.3">
      <c r="A342" s="18" t="s">
        <v>26</v>
      </c>
      <c r="B342" s="18" t="s">
        <v>76</v>
      </c>
    </row>
    <row r="343" spans="1:2" ht="28.8" x14ac:dyDescent="0.3">
      <c r="A343" s="18" t="s">
        <v>27</v>
      </c>
      <c r="B343" s="18" t="s">
        <v>175</v>
      </c>
    </row>
    <row r="344" spans="1:2" ht="28.8" x14ac:dyDescent="0.3">
      <c r="A344" s="18" t="s">
        <v>28</v>
      </c>
      <c r="B344" s="18" t="s">
        <v>60</v>
      </c>
    </row>
    <row r="345" spans="1:2" ht="43.2" x14ac:dyDescent="0.3">
      <c r="A345" s="18" t="s">
        <v>33</v>
      </c>
      <c r="B345" s="18" t="s">
        <v>226</v>
      </c>
    </row>
    <row r="346" spans="1:2" ht="28.8" x14ac:dyDescent="0.3">
      <c r="A346" s="18" t="s">
        <v>34</v>
      </c>
      <c r="B346" s="18" t="s">
        <v>89</v>
      </c>
    </row>
    <row r="347" spans="1:2" ht="43.2" x14ac:dyDescent="0.3">
      <c r="A347" s="18" t="s">
        <v>35</v>
      </c>
      <c r="B347" s="18" t="s">
        <v>240</v>
      </c>
    </row>
    <row r="348" spans="1:2" ht="43.2" x14ac:dyDescent="0.3">
      <c r="A348" s="18" t="s">
        <v>36</v>
      </c>
      <c r="B348" s="18" t="s">
        <v>97</v>
      </c>
    </row>
    <row r="349" spans="1:2" ht="43.2" x14ac:dyDescent="0.3">
      <c r="A349" s="18" t="s">
        <v>37</v>
      </c>
      <c r="B349" s="18" t="s">
        <v>253</v>
      </c>
    </row>
    <row r="350" spans="1:2" ht="43.2" x14ac:dyDescent="0.3">
      <c r="A350" s="18" t="s">
        <v>42</v>
      </c>
      <c r="B350" s="18" t="s">
        <v>140</v>
      </c>
    </row>
    <row r="351" spans="1:2" ht="43.2" x14ac:dyDescent="0.3">
      <c r="A351" s="18" t="s">
        <v>43</v>
      </c>
      <c r="B351" s="18" t="s">
        <v>93</v>
      </c>
    </row>
    <row r="352" spans="1:2" ht="43.2" x14ac:dyDescent="0.3">
      <c r="A352" s="18" t="s">
        <v>44</v>
      </c>
      <c r="B352" s="18" t="s">
        <v>58</v>
      </c>
    </row>
    <row r="353" spans="1:2" ht="43.2" x14ac:dyDescent="0.3">
      <c r="A353" s="18" t="s">
        <v>45</v>
      </c>
      <c r="B353" s="18" t="s">
        <v>141</v>
      </c>
    </row>
    <row r="354" spans="1:2" ht="28.8" x14ac:dyDescent="0.3">
      <c r="A354" s="18" t="s">
        <v>9</v>
      </c>
      <c r="B354" s="18" t="s">
        <v>17</v>
      </c>
    </row>
    <row r="355" spans="1:2" ht="28.8" x14ac:dyDescent="0.3">
      <c r="A355" s="18" t="s">
        <v>19</v>
      </c>
      <c r="B355" s="18" t="s">
        <v>23</v>
      </c>
    </row>
    <row r="356" spans="1:2" ht="28.8" x14ac:dyDescent="0.3">
      <c r="A356" s="18" t="s">
        <v>24</v>
      </c>
      <c r="B356" s="18" t="s">
        <v>56</v>
      </c>
    </row>
    <row r="357" spans="1:2" x14ac:dyDescent="0.3">
      <c r="A357" s="18" t="s">
        <v>25</v>
      </c>
      <c r="B357" s="18" t="s">
        <v>57</v>
      </c>
    </row>
    <row r="358" spans="1:2" ht="28.8" x14ac:dyDescent="0.3">
      <c r="A358" s="18" t="s">
        <v>26</v>
      </c>
      <c r="B358" s="18" t="s">
        <v>143</v>
      </c>
    </row>
    <row r="359" spans="1:2" ht="28.8" x14ac:dyDescent="0.3">
      <c r="A359" s="18" t="s">
        <v>27</v>
      </c>
      <c r="B359" s="18" t="s">
        <v>59</v>
      </c>
    </row>
    <row r="360" spans="1:2" ht="28.8" x14ac:dyDescent="0.3">
      <c r="A360" s="18" t="s">
        <v>28</v>
      </c>
      <c r="B360" s="18" t="s">
        <v>83</v>
      </c>
    </row>
    <row r="361" spans="1:2" ht="43.2" x14ac:dyDescent="0.3">
      <c r="A361" s="18" t="s">
        <v>33</v>
      </c>
      <c r="B361" s="18" t="s">
        <v>85</v>
      </c>
    </row>
    <row r="362" spans="1:2" ht="28.8" x14ac:dyDescent="0.3">
      <c r="A362" s="18" t="s">
        <v>34</v>
      </c>
      <c r="B362" s="18" t="s">
        <v>59</v>
      </c>
    </row>
    <row r="363" spans="1:2" ht="43.2" x14ac:dyDescent="0.3">
      <c r="A363" s="18" t="s">
        <v>35</v>
      </c>
      <c r="B363" s="18" t="s">
        <v>241</v>
      </c>
    </row>
    <row r="364" spans="1:2" ht="43.2" x14ac:dyDescent="0.3">
      <c r="A364" s="18" t="s">
        <v>36</v>
      </c>
      <c r="B364" s="18" t="s">
        <v>74</v>
      </c>
    </row>
    <row r="365" spans="1:2" ht="43.2" x14ac:dyDescent="0.3">
      <c r="A365" s="18" t="s">
        <v>37</v>
      </c>
      <c r="B365" s="18" t="s">
        <v>254</v>
      </c>
    </row>
    <row r="366" spans="1:2" ht="57.6" x14ac:dyDescent="0.3">
      <c r="A366" s="18" t="s">
        <v>42</v>
      </c>
      <c r="B366" s="18" t="s">
        <v>144</v>
      </c>
    </row>
    <row r="367" spans="1:2" ht="43.2" x14ac:dyDescent="0.3">
      <c r="A367" s="18" t="s">
        <v>43</v>
      </c>
      <c r="B367" s="18" t="s">
        <v>64</v>
      </c>
    </row>
    <row r="368" spans="1:2" ht="43.2" x14ac:dyDescent="0.3">
      <c r="A368" s="18" t="s">
        <v>44</v>
      </c>
      <c r="B368" s="18" t="s">
        <v>58</v>
      </c>
    </row>
    <row r="369" spans="1:2" ht="43.2" x14ac:dyDescent="0.3">
      <c r="A369" s="18" t="s">
        <v>45</v>
      </c>
      <c r="B369" s="18" t="s">
        <v>110</v>
      </c>
    </row>
    <row r="370" spans="1:2" ht="28.8" x14ac:dyDescent="0.3">
      <c r="A370" s="18" t="s">
        <v>9</v>
      </c>
      <c r="B370" s="18" t="s">
        <v>14</v>
      </c>
    </row>
    <row r="371" spans="1:2" ht="28.8" x14ac:dyDescent="0.3">
      <c r="A371" s="18" t="s">
        <v>19</v>
      </c>
      <c r="B371" s="18" t="s">
        <v>22</v>
      </c>
    </row>
    <row r="372" spans="1:2" ht="28.8" x14ac:dyDescent="0.3">
      <c r="A372" s="18" t="s">
        <v>24</v>
      </c>
      <c r="B372" s="18" t="s">
        <v>146</v>
      </c>
    </row>
    <row r="373" spans="1:2" x14ac:dyDescent="0.3">
      <c r="A373" s="18" t="s">
        <v>25</v>
      </c>
      <c r="B373" s="18" t="s">
        <v>147</v>
      </c>
    </row>
    <row r="374" spans="1:2" ht="28.8" x14ac:dyDescent="0.3">
      <c r="A374" s="18" t="s">
        <v>26</v>
      </c>
      <c r="B374" s="18" t="s">
        <v>143</v>
      </c>
    </row>
    <row r="375" spans="1:2" ht="28.8" x14ac:dyDescent="0.3">
      <c r="A375" s="18" t="s">
        <v>27</v>
      </c>
      <c r="B375" s="18" t="s">
        <v>175</v>
      </c>
    </row>
    <row r="376" spans="1:2" ht="28.8" x14ac:dyDescent="0.3">
      <c r="A376" s="18" t="s">
        <v>28</v>
      </c>
      <c r="B376" s="18" t="s">
        <v>83</v>
      </c>
    </row>
    <row r="377" spans="1:2" ht="43.2" x14ac:dyDescent="0.3">
      <c r="A377" s="18" t="s">
        <v>33</v>
      </c>
      <c r="B377" s="18" t="s">
        <v>224</v>
      </c>
    </row>
    <row r="378" spans="1:2" ht="28.8" x14ac:dyDescent="0.3">
      <c r="A378" s="18" t="s">
        <v>34</v>
      </c>
      <c r="B378" s="18" t="s">
        <v>89</v>
      </c>
    </row>
    <row r="379" spans="1:2" ht="43.2" x14ac:dyDescent="0.3">
      <c r="A379" s="18" t="s">
        <v>35</v>
      </c>
      <c r="B379" s="18" t="s">
        <v>242</v>
      </c>
    </row>
    <row r="380" spans="1:2" ht="43.2" x14ac:dyDescent="0.3">
      <c r="A380" s="18" t="s">
        <v>36</v>
      </c>
      <c r="B380" s="18" t="s">
        <v>62</v>
      </c>
    </row>
    <row r="381" spans="1:2" ht="43.2" x14ac:dyDescent="0.3">
      <c r="A381" s="18" t="s">
        <v>37</v>
      </c>
      <c r="B381" s="18" t="s">
        <v>255</v>
      </c>
    </row>
    <row r="382" spans="1:2" ht="43.2" x14ac:dyDescent="0.3">
      <c r="A382" s="18" t="s">
        <v>42</v>
      </c>
      <c r="B382" s="18" t="s">
        <v>148</v>
      </c>
    </row>
    <row r="383" spans="1:2" ht="43.2" x14ac:dyDescent="0.3">
      <c r="A383" s="18" t="s">
        <v>43</v>
      </c>
      <c r="B383" s="18" t="s">
        <v>93</v>
      </c>
    </row>
    <row r="384" spans="1:2" ht="43.2" x14ac:dyDescent="0.3">
      <c r="A384" s="18" t="s">
        <v>44</v>
      </c>
      <c r="B384" s="18" t="s">
        <v>58</v>
      </c>
    </row>
    <row r="385" spans="1:2" ht="43.2" x14ac:dyDescent="0.3">
      <c r="A385" s="18" t="s">
        <v>45</v>
      </c>
      <c r="B385" s="18" t="s">
        <v>105</v>
      </c>
    </row>
    <row r="386" spans="1:2" ht="28.8" x14ac:dyDescent="0.3">
      <c r="A386" s="18" t="s">
        <v>9</v>
      </c>
      <c r="B386" s="18" t="s">
        <v>17</v>
      </c>
    </row>
    <row r="387" spans="1:2" ht="28.8" x14ac:dyDescent="0.3">
      <c r="A387" s="18" t="s">
        <v>19</v>
      </c>
      <c r="B387" s="18" t="s">
        <v>20</v>
      </c>
    </row>
    <row r="388" spans="1:2" ht="28.8" x14ac:dyDescent="0.3">
      <c r="A388" s="18" t="s">
        <v>24</v>
      </c>
      <c r="B388" s="18" t="s">
        <v>146</v>
      </c>
    </row>
    <row r="389" spans="1:2" x14ac:dyDescent="0.3">
      <c r="A389" s="18" t="s">
        <v>25</v>
      </c>
      <c r="B389" s="18" t="s">
        <v>150</v>
      </c>
    </row>
    <row r="390" spans="1:2" ht="28.8" x14ac:dyDescent="0.3">
      <c r="A390" s="18" t="s">
        <v>26</v>
      </c>
      <c r="B390" s="18" t="s">
        <v>143</v>
      </c>
    </row>
    <row r="391" spans="1:2" ht="28.8" x14ac:dyDescent="0.3">
      <c r="A391" s="18" t="s">
        <v>27</v>
      </c>
      <c r="B391" s="18" t="s">
        <v>82</v>
      </c>
    </row>
    <row r="392" spans="1:2" ht="28.8" x14ac:dyDescent="0.3">
      <c r="A392" s="18" t="s">
        <v>28</v>
      </c>
      <c r="B392" s="18" t="s">
        <v>72</v>
      </c>
    </row>
    <row r="393" spans="1:2" ht="43.2" x14ac:dyDescent="0.3">
      <c r="A393" s="18" t="s">
        <v>33</v>
      </c>
      <c r="B393" s="18" t="s">
        <v>226</v>
      </c>
    </row>
    <row r="394" spans="1:2" ht="28.8" x14ac:dyDescent="0.3">
      <c r="A394" s="18" t="s">
        <v>34</v>
      </c>
      <c r="B394" s="18" t="s">
        <v>89</v>
      </c>
    </row>
    <row r="395" spans="1:2" ht="43.2" x14ac:dyDescent="0.3">
      <c r="A395" s="18" t="s">
        <v>35</v>
      </c>
      <c r="B395" s="18" t="s">
        <v>243</v>
      </c>
    </row>
    <row r="396" spans="1:2" ht="43.2" x14ac:dyDescent="0.3">
      <c r="A396" s="18" t="s">
        <v>36</v>
      </c>
      <c r="B396" s="18" t="s">
        <v>84</v>
      </c>
    </row>
    <row r="397" spans="1:2" ht="43.2" x14ac:dyDescent="0.3">
      <c r="A397" s="18" t="s">
        <v>37</v>
      </c>
      <c r="B397" s="18" t="s">
        <v>256</v>
      </c>
    </row>
    <row r="398" spans="1:2" ht="43.2" x14ac:dyDescent="0.3">
      <c r="A398" s="18" t="s">
        <v>42</v>
      </c>
      <c r="B398" s="18" t="s">
        <v>151</v>
      </c>
    </row>
    <row r="399" spans="1:2" ht="43.2" x14ac:dyDescent="0.3">
      <c r="A399" s="18" t="s">
        <v>43</v>
      </c>
      <c r="B399" s="18" t="s">
        <v>64</v>
      </c>
    </row>
    <row r="400" spans="1:2" ht="43.2" x14ac:dyDescent="0.3">
      <c r="A400" s="18" t="s">
        <v>44</v>
      </c>
      <c r="B400" s="18" t="s">
        <v>58</v>
      </c>
    </row>
    <row r="401" spans="1:2" ht="43.2" x14ac:dyDescent="0.3">
      <c r="A401" s="18" t="s">
        <v>45</v>
      </c>
      <c r="B401" s="18" t="s">
        <v>123</v>
      </c>
    </row>
    <row r="402" spans="1:2" ht="28.8" x14ac:dyDescent="0.3">
      <c r="A402" s="18" t="s">
        <v>9</v>
      </c>
      <c r="B402" s="18" t="s">
        <v>17</v>
      </c>
    </row>
    <row r="403" spans="1:2" ht="28.8" x14ac:dyDescent="0.3">
      <c r="A403" s="18" t="s">
        <v>19</v>
      </c>
      <c r="B403" s="18" t="s">
        <v>22</v>
      </c>
    </row>
    <row r="404" spans="1:2" ht="28.8" x14ac:dyDescent="0.3">
      <c r="A404" s="18" t="s">
        <v>24</v>
      </c>
      <c r="B404" s="18" t="s">
        <v>56</v>
      </c>
    </row>
    <row r="405" spans="1:2" x14ac:dyDescent="0.3">
      <c r="A405" s="18" t="s">
        <v>25</v>
      </c>
      <c r="B405" s="18" t="s">
        <v>57</v>
      </c>
    </row>
    <row r="406" spans="1:2" ht="28.8" x14ac:dyDescent="0.3">
      <c r="A406" s="18" t="s">
        <v>26</v>
      </c>
      <c r="B406" s="18" t="s">
        <v>143</v>
      </c>
    </row>
    <row r="407" spans="1:2" ht="28.8" x14ac:dyDescent="0.3">
      <c r="A407" s="18" t="s">
        <v>27</v>
      </c>
      <c r="B407" s="18" t="s">
        <v>82</v>
      </c>
    </row>
    <row r="408" spans="1:2" ht="28.8" x14ac:dyDescent="0.3">
      <c r="A408" s="18" t="s">
        <v>28</v>
      </c>
      <c r="B408" s="18" t="s">
        <v>83</v>
      </c>
    </row>
    <row r="409" spans="1:2" ht="43.2" x14ac:dyDescent="0.3">
      <c r="A409" s="18" t="s">
        <v>33</v>
      </c>
      <c r="B409" s="18" t="s">
        <v>224</v>
      </c>
    </row>
    <row r="410" spans="1:2" ht="28.8" x14ac:dyDescent="0.3">
      <c r="A410" s="18" t="s">
        <v>34</v>
      </c>
      <c r="B410" s="18" t="s">
        <v>227</v>
      </c>
    </row>
    <row r="411" spans="1:2" ht="43.2" x14ac:dyDescent="0.3">
      <c r="A411" s="18" t="s">
        <v>35</v>
      </c>
      <c r="B411" s="18" t="s">
        <v>244</v>
      </c>
    </row>
    <row r="412" spans="1:2" ht="43.2" x14ac:dyDescent="0.3">
      <c r="A412" s="18" t="s">
        <v>36</v>
      </c>
      <c r="B412" s="18" t="s">
        <v>86</v>
      </c>
    </row>
    <row r="413" spans="1:2" ht="43.2" x14ac:dyDescent="0.3">
      <c r="A413" s="18" t="s">
        <v>37</v>
      </c>
      <c r="B413" s="18" t="s">
        <v>257</v>
      </c>
    </row>
    <row r="414" spans="1:2" ht="72" x14ac:dyDescent="0.3">
      <c r="A414" s="18" t="s">
        <v>42</v>
      </c>
      <c r="B414" s="18" t="s">
        <v>153</v>
      </c>
    </row>
    <row r="415" spans="1:2" ht="43.2" x14ac:dyDescent="0.3">
      <c r="A415" s="18" t="s">
        <v>43</v>
      </c>
      <c r="B415" s="18" t="s">
        <v>64</v>
      </c>
    </row>
    <row r="416" spans="1:2" ht="43.2" x14ac:dyDescent="0.3">
      <c r="A416" s="18" t="s">
        <v>44</v>
      </c>
      <c r="B416" s="18" t="s">
        <v>76</v>
      </c>
    </row>
    <row r="417" spans="1:2" ht="43.2" x14ac:dyDescent="0.3">
      <c r="A417" s="18" t="s">
        <v>45</v>
      </c>
      <c r="B417" s="18" t="s">
        <v>81</v>
      </c>
    </row>
    <row r="418" spans="1:2" ht="28.8" x14ac:dyDescent="0.3">
      <c r="A418" s="18" t="s">
        <v>9</v>
      </c>
      <c r="B418" s="18" t="s">
        <v>14</v>
      </c>
    </row>
    <row r="419" spans="1:2" ht="28.8" x14ac:dyDescent="0.3">
      <c r="A419" s="18" t="s">
        <v>19</v>
      </c>
      <c r="B419" s="18" t="s">
        <v>23</v>
      </c>
    </row>
    <row r="420" spans="1:2" ht="28.8" x14ac:dyDescent="0.3">
      <c r="A420" s="18" t="s">
        <v>24</v>
      </c>
      <c r="B420" s="18" t="s">
        <v>56</v>
      </c>
    </row>
    <row r="421" spans="1:2" x14ac:dyDescent="0.3">
      <c r="A421" s="18" t="s">
        <v>25</v>
      </c>
      <c r="B421" s="18" t="s">
        <v>57</v>
      </c>
    </row>
    <row r="422" spans="1:2" ht="28.8" x14ac:dyDescent="0.3">
      <c r="A422" s="18" t="s">
        <v>26</v>
      </c>
      <c r="B422" s="18" t="s">
        <v>154</v>
      </c>
    </row>
    <row r="423" spans="1:2" ht="28.8" x14ac:dyDescent="0.3">
      <c r="A423" s="18" t="s">
        <v>27</v>
      </c>
      <c r="B423" s="18" t="s">
        <v>77</v>
      </c>
    </row>
    <row r="424" spans="1:2" ht="28.8" x14ac:dyDescent="0.3">
      <c r="A424" s="18" t="s">
        <v>28</v>
      </c>
      <c r="B424" s="18" t="s">
        <v>67</v>
      </c>
    </row>
    <row r="425" spans="1:2" ht="43.2" x14ac:dyDescent="0.3">
      <c r="A425" s="18" t="s">
        <v>33</v>
      </c>
      <c r="B425" s="18" t="s">
        <v>224</v>
      </c>
    </row>
    <row r="426" spans="1:2" ht="28.8" x14ac:dyDescent="0.3">
      <c r="A426" s="18" t="s">
        <v>34</v>
      </c>
      <c r="B426" s="18" t="s">
        <v>73</v>
      </c>
    </row>
    <row r="427" spans="1:2" ht="43.2" x14ac:dyDescent="0.3">
      <c r="A427" s="18" t="s">
        <v>35</v>
      </c>
      <c r="B427" s="18" t="s">
        <v>245</v>
      </c>
    </row>
    <row r="428" spans="1:2" ht="43.2" x14ac:dyDescent="0.3">
      <c r="A428" s="18" t="s">
        <v>36</v>
      </c>
      <c r="B428" s="18" t="s">
        <v>68</v>
      </c>
    </row>
    <row r="429" spans="1:2" ht="43.2" x14ac:dyDescent="0.3">
      <c r="A429" s="18" t="s">
        <v>37</v>
      </c>
      <c r="B429" s="18" t="s">
        <v>78</v>
      </c>
    </row>
    <row r="430" spans="1:2" ht="43.2" x14ac:dyDescent="0.3">
      <c r="A430" s="18" t="s">
        <v>42</v>
      </c>
      <c r="B430" s="18" t="s">
        <v>155</v>
      </c>
    </row>
    <row r="431" spans="1:2" ht="43.2" x14ac:dyDescent="0.3">
      <c r="A431" s="18" t="s">
        <v>43</v>
      </c>
      <c r="B431" s="18" t="s">
        <v>64</v>
      </c>
    </row>
    <row r="432" spans="1:2" ht="43.2" x14ac:dyDescent="0.3">
      <c r="A432" s="18" t="s">
        <v>44</v>
      </c>
      <c r="B432" s="18" t="s">
        <v>65</v>
      </c>
    </row>
    <row r="433" spans="1:2" ht="43.2" x14ac:dyDescent="0.3">
      <c r="A433" s="18" t="s">
        <v>45</v>
      </c>
      <c r="B433" s="18" t="s">
        <v>118</v>
      </c>
    </row>
    <row r="434" spans="1:2" ht="28.8" x14ac:dyDescent="0.3">
      <c r="A434" s="18" t="s">
        <v>9</v>
      </c>
      <c r="B434" s="18" t="s">
        <v>17</v>
      </c>
    </row>
    <row r="435" spans="1:2" ht="28.8" x14ac:dyDescent="0.3">
      <c r="A435" s="18" t="s">
        <v>19</v>
      </c>
      <c r="B435" s="18" t="s">
        <v>23</v>
      </c>
    </row>
    <row r="436" spans="1:2" ht="28.8" x14ac:dyDescent="0.3">
      <c r="A436" s="18" t="s">
        <v>24</v>
      </c>
      <c r="B436" s="18" t="s">
        <v>56</v>
      </c>
    </row>
    <row r="437" spans="1:2" x14ac:dyDescent="0.3">
      <c r="A437" s="18" t="s">
        <v>25</v>
      </c>
      <c r="B437" s="18" t="s">
        <v>147</v>
      </c>
    </row>
    <row r="438" spans="1:2" ht="28.8" x14ac:dyDescent="0.3">
      <c r="A438" s="18" t="s">
        <v>26</v>
      </c>
      <c r="B438" s="18" t="s">
        <v>154</v>
      </c>
    </row>
    <row r="439" spans="1:2" ht="28.8" x14ac:dyDescent="0.3">
      <c r="A439" s="18" t="s">
        <v>27</v>
      </c>
      <c r="B439" s="18" t="s">
        <v>175</v>
      </c>
    </row>
    <row r="440" spans="1:2" ht="28.8" x14ac:dyDescent="0.3">
      <c r="A440" s="18" t="s">
        <v>28</v>
      </c>
      <c r="B440" s="18" t="s">
        <v>83</v>
      </c>
    </row>
    <row r="441" spans="1:2" ht="43.2" x14ac:dyDescent="0.3">
      <c r="A441" s="18" t="s">
        <v>33</v>
      </c>
      <c r="B441" s="18" t="s">
        <v>223</v>
      </c>
    </row>
    <row r="442" spans="1:2" ht="28.8" x14ac:dyDescent="0.3">
      <c r="A442" s="18" t="s">
        <v>34</v>
      </c>
      <c r="B442" s="18" t="s">
        <v>73</v>
      </c>
    </row>
    <row r="443" spans="1:2" ht="43.2" x14ac:dyDescent="0.3">
      <c r="A443" s="18" t="s">
        <v>35</v>
      </c>
      <c r="B443" s="18" t="s">
        <v>245</v>
      </c>
    </row>
    <row r="444" spans="1:2" ht="43.2" x14ac:dyDescent="0.3">
      <c r="A444" s="18" t="s">
        <v>36</v>
      </c>
      <c r="B444" s="18" t="s">
        <v>68</v>
      </c>
    </row>
    <row r="445" spans="1:2" ht="43.2" x14ac:dyDescent="0.3">
      <c r="A445" s="18" t="s">
        <v>37</v>
      </c>
      <c r="B445" s="18" t="s">
        <v>258</v>
      </c>
    </row>
    <row r="446" spans="1:2" ht="43.2" x14ac:dyDescent="0.3">
      <c r="A446" s="18" t="s">
        <v>42</v>
      </c>
      <c r="B446" s="18" t="s">
        <v>155</v>
      </c>
    </row>
    <row r="447" spans="1:2" ht="43.2" x14ac:dyDescent="0.3">
      <c r="A447" s="18" t="s">
        <v>43</v>
      </c>
      <c r="B447" s="18" t="s">
        <v>88</v>
      </c>
    </row>
    <row r="448" spans="1:2" ht="43.2" x14ac:dyDescent="0.3">
      <c r="A448" s="18" t="s">
        <v>44</v>
      </c>
      <c r="B448" s="18" t="s">
        <v>65</v>
      </c>
    </row>
    <row r="449" spans="1:2" ht="43.2" x14ac:dyDescent="0.3">
      <c r="A449" s="18" t="s">
        <v>45</v>
      </c>
      <c r="B449" s="18" t="s">
        <v>118</v>
      </c>
    </row>
    <row r="450" spans="1:2" ht="28.8" x14ac:dyDescent="0.3">
      <c r="A450" s="18" t="s">
        <v>9</v>
      </c>
      <c r="B450" s="18" t="s">
        <v>14</v>
      </c>
    </row>
    <row r="451" spans="1:2" ht="28.8" x14ac:dyDescent="0.3">
      <c r="A451" s="18" t="s">
        <v>19</v>
      </c>
      <c r="B451" s="18" t="s">
        <v>20</v>
      </c>
    </row>
    <row r="452" spans="1:2" ht="28.8" x14ac:dyDescent="0.3">
      <c r="A452" s="18" t="s">
        <v>24</v>
      </c>
      <c r="B452" s="18" t="s">
        <v>156</v>
      </c>
    </row>
    <row r="453" spans="1:2" x14ac:dyDescent="0.3">
      <c r="A453" s="18" t="s">
        <v>25</v>
      </c>
      <c r="B453" s="18" t="s">
        <v>57</v>
      </c>
    </row>
    <row r="454" spans="1:2" ht="28.8" x14ac:dyDescent="0.3">
      <c r="A454" s="18" t="s">
        <v>26</v>
      </c>
      <c r="B454" s="18" t="s">
        <v>143</v>
      </c>
    </row>
    <row r="455" spans="1:2" ht="28.8" x14ac:dyDescent="0.3">
      <c r="A455" s="18" t="s">
        <v>27</v>
      </c>
      <c r="B455" s="18" t="s">
        <v>59</v>
      </c>
    </row>
    <row r="456" spans="1:2" ht="28.8" x14ac:dyDescent="0.3">
      <c r="A456" s="18" t="s">
        <v>28</v>
      </c>
      <c r="B456" s="18" t="s">
        <v>83</v>
      </c>
    </row>
    <row r="457" spans="1:2" ht="43.2" x14ac:dyDescent="0.3">
      <c r="A457" s="18" t="s">
        <v>33</v>
      </c>
      <c r="B457" s="18" t="s">
        <v>225</v>
      </c>
    </row>
    <row r="458" spans="1:2" ht="28.8" x14ac:dyDescent="0.3">
      <c r="A458" s="18" t="s">
        <v>34</v>
      </c>
      <c r="B458" s="18" t="s">
        <v>73</v>
      </c>
    </row>
    <row r="459" spans="1:2" ht="43.2" x14ac:dyDescent="0.3">
      <c r="A459" s="18" t="s">
        <v>35</v>
      </c>
      <c r="B459" s="18" t="s">
        <v>245</v>
      </c>
    </row>
    <row r="460" spans="1:2" ht="43.2" x14ac:dyDescent="0.3">
      <c r="A460" s="18" t="s">
        <v>36</v>
      </c>
      <c r="B460" s="18" t="s">
        <v>62</v>
      </c>
    </row>
    <row r="461" spans="1:2" ht="43.2" x14ac:dyDescent="0.3">
      <c r="A461" s="18" t="s">
        <v>37</v>
      </c>
      <c r="B461" s="18" t="s">
        <v>258</v>
      </c>
    </row>
    <row r="462" spans="1:2" ht="43.2" x14ac:dyDescent="0.3">
      <c r="A462" s="18" t="s">
        <v>42</v>
      </c>
      <c r="B462" s="18" t="s">
        <v>79</v>
      </c>
    </row>
    <row r="463" spans="1:2" ht="43.2" x14ac:dyDescent="0.3">
      <c r="A463" s="18" t="s">
        <v>43</v>
      </c>
      <c r="B463" s="18" t="s">
        <v>96</v>
      </c>
    </row>
    <row r="464" spans="1:2" ht="43.2" x14ac:dyDescent="0.3">
      <c r="A464" s="18" t="s">
        <v>44</v>
      </c>
      <c r="B464" s="18" t="s">
        <v>65</v>
      </c>
    </row>
    <row r="465" spans="1:2" ht="43.2" x14ac:dyDescent="0.3">
      <c r="A465" s="18" t="s">
        <v>45</v>
      </c>
      <c r="B465" s="18" t="s">
        <v>69</v>
      </c>
    </row>
    <row r="466" spans="1:2" ht="28.8" x14ac:dyDescent="0.3">
      <c r="A466" s="18" t="s">
        <v>9</v>
      </c>
      <c r="B466" s="18" t="s">
        <v>17</v>
      </c>
    </row>
    <row r="467" spans="1:2" ht="28.8" x14ac:dyDescent="0.3">
      <c r="A467" s="18" t="s">
        <v>19</v>
      </c>
      <c r="B467" s="18" t="s">
        <v>22</v>
      </c>
    </row>
    <row r="468" spans="1:2" ht="28.8" x14ac:dyDescent="0.3">
      <c r="A468" s="18" t="s">
        <v>24</v>
      </c>
      <c r="B468" s="18" t="s">
        <v>56</v>
      </c>
    </row>
    <row r="469" spans="1:2" x14ac:dyDescent="0.3">
      <c r="A469" s="18" t="s">
        <v>25</v>
      </c>
      <c r="B469" s="18" t="s">
        <v>57</v>
      </c>
    </row>
    <row r="470" spans="1:2" ht="28.8" x14ac:dyDescent="0.3">
      <c r="A470" s="18" t="s">
        <v>26</v>
      </c>
      <c r="B470" s="18" t="s">
        <v>154</v>
      </c>
    </row>
    <row r="471" spans="1:2" ht="28.8" x14ac:dyDescent="0.3">
      <c r="A471" s="18" t="s">
        <v>27</v>
      </c>
      <c r="B471" s="18" t="s">
        <v>59</v>
      </c>
    </row>
    <row r="472" spans="1:2" ht="28.8" x14ac:dyDescent="0.3">
      <c r="A472" s="18" t="s">
        <v>28</v>
      </c>
      <c r="B472" s="18" t="s">
        <v>83</v>
      </c>
    </row>
    <row r="473" spans="1:2" ht="43.2" x14ac:dyDescent="0.3">
      <c r="A473" s="18" t="s">
        <v>33</v>
      </c>
      <c r="B473" s="18" t="s">
        <v>226</v>
      </c>
    </row>
    <row r="474" spans="1:2" ht="28.8" x14ac:dyDescent="0.3">
      <c r="A474" s="18" t="s">
        <v>34</v>
      </c>
      <c r="B474" s="18" t="s">
        <v>73</v>
      </c>
    </row>
    <row r="475" spans="1:2" ht="43.2" x14ac:dyDescent="0.3">
      <c r="A475" s="18" t="s">
        <v>35</v>
      </c>
      <c r="B475" s="18" t="s">
        <v>155</v>
      </c>
    </row>
    <row r="476" spans="1:2" ht="43.2" x14ac:dyDescent="0.3">
      <c r="A476" s="18" t="s">
        <v>36</v>
      </c>
      <c r="B476" s="18" t="s">
        <v>97</v>
      </c>
    </row>
    <row r="477" spans="1:2" ht="43.2" x14ac:dyDescent="0.3">
      <c r="A477" s="18" t="s">
        <v>37</v>
      </c>
      <c r="B477" s="18" t="s">
        <v>253</v>
      </c>
    </row>
    <row r="478" spans="1:2" ht="43.2" x14ac:dyDescent="0.3">
      <c r="A478" s="18" t="s">
        <v>42</v>
      </c>
      <c r="B478" s="18" t="s">
        <v>157</v>
      </c>
    </row>
    <row r="479" spans="1:2" ht="43.2" x14ac:dyDescent="0.3">
      <c r="A479" s="18" t="s">
        <v>43</v>
      </c>
      <c r="B479" s="18" t="s">
        <v>64</v>
      </c>
    </row>
    <row r="480" spans="1:2" ht="43.2" x14ac:dyDescent="0.3">
      <c r="A480" s="18" t="s">
        <v>44</v>
      </c>
      <c r="B480" s="18" t="s">
        <v>65</v>
      </c>
    </row>
    <row r="481" spans="1:2" ht="43.2" x14ac:dyDescent="0.3">
      <c r="A481" s="18" t="s">
        <v>45</v>
      </c>
      <c r="B481" s="18" t="s">
        <v>69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1FDF0E-4AF4-40A5-9031-D468EC95BC4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Sheet 1</vt:lpstr>
      <vt:lpstr>Sheet 2</vt:lpstr>
      <vt:lpstr>Sheet 3</vt:lpstr>
      <vt:lpstr>Sheet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Raunak</dc:creator>
  <cp:lastModifiedBy>Mario Gonsalves</cp:lastModifiedBy>
  <dcterms:created xsi:type="dcterms:W3CDTF">2015-06-05T18:17:20Z</dcterms:created>
  <dcterms:modified xsi:type="dcterms:W3CDTF">2026-06-01T17:42:00Z</dcterms:modified>
</cp:coreProperties>
</file>